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-15" yWindow="6165" windowWidth="28830" windowHeight="6210" tabRatio="935"/>
  </bookViews>
  <sheets>
    <sheet name="Informacije" sheetId="1" r:id="rId1"/>
    <sheet name="Timovi" sheetId="2" state="veryHidden" r:id="rId2"/>
    <sheet name="Liga" sheetId="3" state="veryHidden" r:id="rId3"/>
    <sheet name="Rangiranje Liga" sheetId="16" state="veryHidden" r:id="rId4"/>
    <sheet name="Medjusoban susret Liga" sheetId="17" state="veryHidden" r:id="rId5"/>
    <sheet name="Utakmice Liga" sheetId="15" state="veryHidden" r:id="rId6"/>
    <sheet name="Grupa A" sheetId="4" state="veryHidden" r:id="rId7"/>
    <sheet name="Rangiranje A" sheetId="6" state="veryHidden" r:id="rId8"/>
    <sheet name="Medjusobni susret A" sheetId="7" state="veryHidden" r:id="rId9"/>
    <sheet name="Utakmice A" sheetId="8" state="veryHidden" r:id="rId10"/>
    <sheet name="Utakmice B" sheetId="10" state="veryHidden" r:id="rId11"/>
    <sheet name="Grupa B" sheetId="14" state="veryHidden" r:id="rId12"/>
    <sheet name="Knockout 6" sheetId="23" state="veryHidden" r:id="rId13"/>
    <sheet name="Knockout 7" sheetId="22" state="veryHidden" r:id="rId14"/>
    <sheet name="Knockout 8" sheetId="21" state="veryHidden" r:id="rId15"/>
    <sheet name="Knockout 9" sheetId="25" state="veryHidden" r:id="rId16"/>
    <sheet name="Knockout 10" sheetId="24" state="veryHidden" r:id="rId17"/>
    <sheet name="Knockout 11" sheetId="18" state="veryHidden" r:id="rId18"/>
    <sheet name="Medjusobni susret B" sheetId="12" state="veryHidden" r:id="rId19"/>
    <sheet name="Rangiranje B" sheetId="13" state="veryHidden" r:id="rId20"/>
    <sheet name="Draw" sheetId="26" state="veryHidden" r:id="rId21"/>
    <sheet name=" " sheetId="27" state="hidden" r:id="rId22"/>
  </sheets>
  <definedNames>
    <definedName name="_xlnm._FilterDatabase" localSheetId="6" hidden="1">'Grupa A'!$A$7:$J$12</definedName>
    <definedName name="_xlnm._FilterDatabase" localSheetId="11" hidden="1">'Grupa B'!$A$7:$J$12</definedName>
  </definedNames>
  <calcPr calcId="144525" iterateCount="1"/>
</workbook>
</file>

<file path=xl/calcChain.xml><?xml version="1.0" encoding="utf-8"?>
<calcChain xmlns="http://schemas.openxmlformats.org/spreadsheetml/2006/main">
  <c r="AG37" i="18" l="1"/>
  <c r="AG35" i="18"/>
  <c r="W37" i="18"/>
  <c r="W35" i="18"/>
  <c r="M43" i="18"/>
  <c r="M41" i="18"/>
  <c r="M37" i="18"/>
  <c r="M35" i="18"/>
  <c r="AG18" i="18"/>
  <c r="AG16" i="18"/>
  <c r="W18" i="18"/>
  <c r="W16" i="18"/>
  <c r="M21" i="18"/>
  <c r="M19" i="18"/>
  <c r="M15" i="18"/>
  <c r="M13" i="18"/>
  <c r="AG37" i="24"/>
  <c r="AG35" i="24"/>
  <c r="W37" i="24"/>
  <c r="W35" i="24"/>
  <c r="M43" i="24"/>
  <c r="M41" i="24"/>
  <c r="M37" i="24"/>
  <c r="M35" i="24"/>
  <c r="AG18" i="24"/>
  <c r="AG16" i="24"/>
  <c r="W18" i="24"/>
  <c r="W16" i="24"/>
  <c r="M21" i="24"/>
  <c r="M19" i="24"/>
  <c r="M15" i="24"/>
  <c r="M13" i="24"/>
  <c r="AG12" i="25"/>
  <c r="AG10" i="25"/>
  <c r="W12" i="25"/>
  <c r="W10" i="25"/>
  <c r="M24" i="25"/>
  <c r="M22" i="25"/>
  <c r="M15" i="25"/>
  <c r="M9" i="25"/>
  <c r="AG12" i="21"/>
  <c r="AG10" i="21"/>
  <c r="W12" i="21"/>
  <c r="W10" i="21"/>
  <c r="M24" i="21"/>
  <c r="M22" i="21"/>
  <c r="M15" i="21"/>
  <c r="M9" i="21"/>
  <c r="W13" i="22"/>
  <c r="W11" i="22"/>
  <c r="M13" i="22"/>
  <c r="M11" i="22"/>
  <c r="W12" i="23"/>
  <c r="W10" i="23"/>
  <c r="M12" i="23"/>
  <c r="M10" i="23"/>
  <c r="D3" i="7" l="1"/>
  <c r="D4" i="7"/>
  <c r="D5" i="7"/>
  <c r="D6" i="7"/>
  <c r="D7" i="7"/>
  <c r="D8" i="7"/>
  <c r="D9" i="7"/>
  <c r="D10" i="7"/>
  <c r="D11" i="7"/>
  <c r="D12" i="7"/>
  <c r="D13" i="7"/>
  <c r="D14" i="7"/>
  <c r="D15" i="7"/>
  <c r="D16" i="7"/>
  <c r="Q43" i="18"/>
  <c r="Q41" i="18"/>
  <c r="Q37" i="18"/>
  <c r="Q35" i="18"/>
  <c r="G37" i="18"/>
  <c r="G35" i="18"/>
  <c r="AK37" i="18"/>
  <c r="AK35" i="18"/>
  <c r="AA37" i="18"/>
  <c r="AA35" i="18"/>
  <c r="AA37" i="24"/>
  <c r="AA35" i="24"/>
  <c r="AK37" i="24"/>
  <c r="AK35" i="24"/>
  <c r="Q41" i="24"/>
  <c r="Q35" i="24"/>
  <c r="Q43" i="24"/>
  <c r="Q37" i="24"/>
  <c r="G35" i="24"/>
  <c r="G37" i="24"/>
  <c r="Q24" i="25" l="1"/>
  <c r="Q22" i="25"/>
  <c r="G22" i="25"/>
  <c r="G24" i="25"/>
  <c r="Q24" i="21"/>
  <c r="Q22" i="21"/>
  <c r="G24" i="21"/>
  <c r="G22" i="21"/>
  <c r="G23" i="22"/>
  <c r="G25" i="22"/>
  <c r="G24" i="23"/>
  <c r="G26" i="23"/>
  <c r="F9" i="26" l="1"/>
  <c r="A8" i="13"/>
  <c r="C16" i="2"/>
  <c r="C15" i="2"/>
  <c r="C14" i="2"/>
  <c r="C13" i="2"/>
  <c r="C12" i="2"/>
  <c r="B12" i="2"/>
  <c r="B16" i="2"/>
  <c r="B15" i="2"/>
  <c r="B14" i="2"/>
  <c r="B13" i="2"/>
  <c r="F11" i="26" l="1"/>
  <c r="F12" i="26"/>
  <c r="F13" i="26"/>
  <c r="F10" i="26"/>
  <c r="F6" i="26"/>
  <c r="F7" i="26"/>
  <c r="F8" i="26"/>
  <c r="F3" i="26"/>
  <c r="F5" i="26"/>
  <c r="F4" i="26"/>
  <c r="G25" i="24"/>
  <c r="G15" i="23"/>
  <c r="D11" i="1"/>
  <c r="C9" i="2" l="1"/>
  <c r="G7" i="18"/>
  <c r="S13" i="3"/>
  <c r="F5" i="2" l="1"/>
  <c r="E5" i="2"/>
  <c r="B6" i="2"/>
  <c r="B4" i="2"/>
  <c r="F4" i="2"/>
  <c r="C5" i="2"/>
  <c r="E4" i="2"/>
  <c r="B5" i="2"/>
  <c r="C6" i="2"/>
  <c r="C4" i="2"/>
  <c r="F8" i="2"/>
  <c r="F7" i="2"/>
  <c r="C8" i="2"/>
  <c r="F6" i="2"/>
  <c r="C7" i="2"/>
  <c r="E8" i="2"/>
  <c r="E7" i="2"/>
  <c r="B9" i="2"/>
  <c r="B7" i="2"/>
  <c r="E6" i="2"/>
  <c r="B8" i="2"/>
  <c r="B10" i="2"/>
  <c r="C11" i="2"/>
  <c r="A4" i="6" l="1"/>
  <c r="A5" i="6"/>
  <c r="A8" i="6"/>
  <c r="A7" i="6"/>
  <c r="A6" i="6"/>
  <c r="Q15" i="25"/>
  <c r="G15" i="25"/>
  <c r="Q13" i="25"/>
  <c r="G13" i="25"/>
  <c r="AK12" i="25"/>
  <c r="AA12" i="25"/>
  <c r="AK10" i="25"/>
  <c r="AA10" i="25"/>
  <c r="Q9" i="25"/>
  <c r="G9" i="25"/>
  <c r="Q7" i="25"/>
  <c r="G7" i="25"/>
  <c r="G27" i="24"/>
  <c r="Q21" i="24"/>
  <c r="G21" i="24"/>
  <c r="Q19" i="24"/>
  <c r="G19" i="24"/>
  <c r="AK18" i="24"/>
  <c r="AA18" i="24"/>
  <c r="AK16" i="24"/>
  <c r="AA16" i="24"/>
  <c r="Q15" i="24"/>
  <c r="G15" i="24"/>
  <c r="Q13" i="24"/>
  <c r="G13" i="24"/>
  <c r="G9" i="24"/>
  <c r="G7" i="24"/>
  <c r="AK12" i="21"/>
  <c r="AK10" i="21"/>
  <c r="AA12" i="21"/>
  <c r="AA10" i="21"/>
  <c r="Q15" i="21"/>
  <c r="Q13" i="21"/>
  <c r="Q9" i="21"/>
  <c r="Q7" i="21"/>
  <c r="G15" i="21"/>
  <c r="G13" i="21"/>
  <c r="G9" i="21"/>
  <c r="G7" i="21"/>
  <c r="AA13" i="22"/>
  <c r="AA11" i="22"/>
  <c r="Q13" i="22"/>
  <c r="Q11" i="22"/>
  <c r="G13" i="22"/>
  <c r="G15" i="22"/>
  <c r="G9" i="22"/>
  <c r="G7" i="22"/>
  <c r="Q10" i="23"/>
  <c r="AA10" i="23"/>
  <c r="Q12" i="23"/>
  <c r="AA12" i="23"/>
  <c r="G13" i="23"/>
  <c r="G9" i="23"/>
  <c r="G7" i="23"/>
  <c r="C2" i="15"/>
  <c r="B2" i="15"/>
  <c r="C2" i="10"/>
  <c r="B2" i="10"/>
  <c r="AK18" i="18"/>
  <c r="AK16" i="18"/>
  <c r="AA18" i="18"/>
  <c r="AA16" i="18"/>
  <c r="Q21" i="18"/>
  <c r="Q19" i="18"/>
  <c r="Q15" i="18"/>
  <c r="Q13" i="18"/>
  <c r="G27" i="18"/>
  <c r="G25" i="18"/>
  <c r="G21" i="18"/>
  <c r="G19" i="18"/>
  <c r="G15" i="18"/>
  <c r="G13" i="18"/>
  <c r="G9" i="18"/>
  <c r="A4" i="16" l="1"/>
  <c r="A5" i="16"/>
  <c r="A6" i="16"/>
  <c r="A7" i="16"/>
  <c r="A8" i="16"/>
  <c r="A3" i="16"/>
  <c r="A3" i="13"/>
  <c r="A4" i="13"/>
  <c r="A5" i="13"/>
  <c r="A6" i="13"/>
  <c r="A7" i="13"/>
  <c r="D3" i="17" l="1"/>
  <c r="E3" i="17" s="1"/>
  <c r="D4" i="17"/>
  <c r="E4" i="17" s="1"/>
  <c r="D5" i="17"/>
  <c r="E5" i="17" s="1"/>
  <c r="D6" i="17"/>
  <c r="E6" i="17" s="1"/>
  <c r="D7" i="17"/>
  <c r="E7" i="17" s="1"/>
  <c r="D8" i="17"/>
  <c r="E8" i="17" s="1"/>
  <c r="D9" i="17"/>
  <c r="D10" i="17"/>
  <c r="E10" i="17" s="1"/>
  <c r="D11" i="17"/>
  <c r="E11" i="17" s="1"/>
  <c r="C3" i="17"/>
  <c r="C4" i="17"/>
  <c r="C5" i="17"/>
  <c r="C6" i="17"/>
  <c r="B6" i="17" s="1"/>
  <c r="C7" i="17"/>
  <c r="C8" i="17"/>
  <c r="C9" i="17"/>
  <c r="C10" i="17"/>
  <c r="C11" i="17"/>
  <c r="D2" i="17"/>
  <c r="E2" i="17" s="1"/>
  <c r="C2" i="17"/>
  <c r="F10" i="15"/>
  <c r="E10" i="15"/>
  <c r="A1" i="15"/>
  <c r="I7" i="17"/>
  <c r="Q1" i="17" s="1"/>
  <c r="I3" i="17"/>
  <c r="M1" i="17" s="1"/>
  <c r="I4" i="17"/>
  <c r="N1" i="17" s="1"/>
  <c r="I5" i="17"/>
  <c r="O1" i="17" s="1"/>
  <c r="I6" i="17"/>
  <c r="P1" i="17" s="1"/>
  <c r="I2" i="17"/>
  <c r="L1" i="17" s="1"/>
  <c r="T19" i="3"/>
  <c r="S19" i="3"/>
  <c r="T13" i="3"/>
  <c r="T7" i="3"/>
  <c r="S7" i="3"/>
  <c r="D12" i="15"/>
  <c r="D11" i="15"/>
  <c r="B11" i="15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7" i="17"/>
  <c r="D3" i="12"/>
  <c r="D4" i="12"/>
  <c r="D5" i="12"/>
  <c r="D6" i="12"/>
  <c r="E6" i="12" s="1"/>
  <c r="D7" i="12"/>
  <c r="D8" i="12"/>
  <c r="D9" i="12"/>
  <c r="D10" i="12"/>
  <c r="D11" i="12"/>
  <c r="D12" i="12"/>
  <c r="D13" i="12"/>
  <c r="D14" i="12"/>
  <c r="D15" i="12"/>
  <c r="E15" i="12" s="1"/>
  <c r="D16" i="12"/>
  <c r="C3" i="12"/>
  <c r="C4" i="12"/>
  <c r="C5" i="12"/>
  <c r="C6" i="12"/>
  <c r="C7" i="12"/>
  <c r="C8" i="12"/>
  <c r="C9" i="12"/>
  <c r="C10" i="12"/>
  <c r="C11" i="12"/>
  <c r="C12" i="12"/>
  <c r="B12" i="12" s="1"/>
  <c r="C13" i="12"/>
  <c r="C14" i="12"/>
  <c r="B14" i="12" s="1"/>
  <c r="C15" i="12"/>
  <c r="C16" i="12"/>
  <c r="B16" i="12" s="1"/>
  <c r="D2" i="12"/>
  <c r="C2" i="12"/>
  <c r="T19" i="14"/>
  <c r="S19" i="14"/>
  <c r="T13" i="14"/>
  <c r="S13" i="14"/>
  <c r="T7" i="14"/>
  <c r="S7" i="14"/>
  <c r="I3" i="12"/>
  <c r="M1" i="12" s="1"/>
  <c r="I5" i="12"/>
  <c r="I7" i="12"/>
  <c r="I4" i="12"/>
  <c r="N1" i="12" s="1"/>
  <c r="I6" i="12"/>
  <c r="I2" i="12"/>
  <c r="L1" i="12" s="1"/>
  <c r="B15" i="12"/>
  <c r="B13" i="12"/>
  <c r="F10" i="10"/>
  <c r="E10" i="10"/>
  <c r="D12" i="10"/>
  <c r="D11" i="10"/>
  <c r="B11" i="10"/>
  <c r="Y6" i="10"/>
  <c r="V6" i="10"/>
  <c r="S6" i="10"/>
  <c r="P6" i="10"/>
  <c r="Y5" i="10"/>
  <c r="V5" i="10"/>
  <c r="S5" i="10"/>
  <c r="P5" i="10"/>
  <c r="Y4" i="10"/>
  <c r="V4" i="10"/>
  <c r="S4" i="10"/>
  <c r="P4" i="10"/>
  <c r="Y3" i="10"/>
  <c r="S3" i="10"/>
  <c r="S6" i="8"/>
  <c r="S3" i="8"/>
  <c r="S4" i="8"/>
  <c r="S5" i="8"/>
  <c r="P4" i="8"/>
  <c r="P5" i="8"/>
  <c r="P6" i="8"/>
  <c r="S19" i="4"/>
  <c r="S13" i="4"/>
  <c r="T19" i="4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D98" i="8"/>
  <c r="D99" i="8" s="1"/>
  <c r="D87" i="8"/>
  <c r="D88" i="8"/>
  <c r="D89" i="8"/>
  <c r="D90" i="8" s="1"/>
  <c r="D91" i="8" s="1"/>
  <c r="D92" i="8" s="1"/>
  <c r="D93" i="8" s="1"/>
  <c r="D94" i="8" s="1"/>
  <c r="D95" i="8" s="1"/>
  <c r="D96" i="8" s="1"/>
  <c r="D97" i="8" s="1"/>
  <c r="D86" i="8"/>
  <c r="D85" i="8"/>
  <c r="T13" i="4"/>
  <c r="D72" i="8"/>
  <c r="D73" i="8"/>
  <c r="D74" i="8"/>
  <c r="D75" i="8" s="1"/>
  <c r="D76" i="8" s="1"/>
  <c r="D77" i="8" s="1"/>
  <c r="D78" i="8" s="1"/>
  <c r="D79" i="8" s="1"/>
  <c r="D80" i="8" s="1"/>
  <c r="D81" i="8" s="1"/>
  <c r="D82" i="8" s="1"/>
  <c r="D83" i="8" s="1"/>
  <c r="D84" i="8" s="1"/>
  <c r="D71" i="8"/>
  <c r="D70" i="8"/>
  <c r="D57" i="8"/>
  <c r="D58" i="8"/>
  <c r="D59" i="8"/>
  <c r="D60" i="8" s="1"/>
  <c r="D61" i="8" s="1"/>
  <c r="D62" i="8" s="1"/>
  <c r="D63" i="8" s="1"/>
  <c r="D64" i="8" s="1"/>
  <c r="D65" i="8" s="1"/>
  <c r="D66" i="8" s="1"/>
  <c r="D67" i="8" s="1"/>
  <c r="D68" i="8" s="1"/>
  <c r="D69" i="8" s="1"/>
  <c r="D56" i="8"/>
  <c r="D55" i="8"/>
  <c r="D42" i="8"/>
  <c r="D43" i="8" s="1"/>
  <c r="D44" i="8" s="1"/>
  <c r="D45" i="8" s="1"/>
  <c r="D46" i="8" s="1"/>
  <c r="D47" i="8" s="1"/>
  <c r="D48" i="8" s="1"/>
  <c r="D49" i="8" s="1"/>
  <c r="D50" i="8" s="1"/>
  <c r="D51" i="8" s="1"/>
  <c r="D52" i="8" s="1"/>
  <c r="D53" i="8" s="1"/>
  <c r="D54" i="8" s="1"/>
  <c r="D41" i="8"/>
  <c r="D40" i="8"/>
  <c r="D36" i="8"/>
  <c r="D37" i="8"/>
  <c r="D38" i="8"/>
  <c r="D39" i="8" s="1"/>
  <c r="D27" i="8"/>
  <c r="D28" i="8"/>
  <c r="D29" i="8"/>
  <c r="D30" i="8" s="1"/>
  <c r="D31" i="8" s="1"/>
  <c r="D32" i="8" s="1"/>
  <c r="D33" i="8" s="1"/>
  <c r="D34" i="8" s="1"/>
  <c r="D35" i="8" s="1"/>
  <c r="D26" i="8"/>
  <c r="D25" i="8"/>
  <c r="D24" i="8"/>
  <c r="D12" i="8"/>
  <c r="D13" i="8"/>
  <c r="D14" i="8"/>
  <c r="D15" i="8" s="1"/>
  <c r="D16" i="8" s="1"/>
  <c r="D17" i="8" s="1"/>
  <c r="D18" i="8" s="1"/>
  <c r="D19" i="8" s="1"/>
  <c r="D20" i="8" s="1"/>
  <c r="D21" i="8" s="1"/>
  <c r="D22" i="8" s="1"/>
  <c r="D23" i="8" s="1"/>
  <c r="D11" i="8"/>
  <c r="B11" i="8"/>
  <c r="E4" i="12" l="1"/>
  <c r="E7" i="12"/>
  <c r="B9" i="17"/>
  <c r="B4" i="17"/>
  <c r="B7" i="12"/>
  <c r="B11" i="17"/>
  <c r="B10" i="17"/>
  <c r="E9" i="17"/>
  <c r="B8" i="17"/>
  <c r="B5" i="17"/>
  <c r="B3" i="17"/>
  <c r="B2" i="17"/>
  <c r="B10" i="12"/>
  <c r="B9" i="12"/>
  <c r="B8" i="12"/>
  <c r="B4" i="12"/>
  <c r="E2" i="12"/>
  <c r="B2" i="12"/>
  <c r="D13" i="15"/>
  <c r="B11" i="12"/>
  <c r="E3" i="12"/>
  <c r="E8" i="12"/>
  <c r="E12" i="12"/>
  <c r="E16" i="12"/>
  <c r="E13" i="12"/>
  <c r="E5" i="12"/>
  <c r="E9" i="12"/>
  <c r="E14" i="12"/>
  <c r="E11" i="12"/>
  <c r="E10" i="12"/>
  <c r="B6" i="12"/>
  <c r="B5" i="12"/>
  <c r="B3" i="12"/>
  <c r="B12" i="10"/>
  <c r="D13" i="10"/>
  <c r="B12" i="8"/>
  <c r="D14" i="15" l="1"/>
  <c r="D14" i="10"/>
  <c r="B13" i="10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13" i="8"/>
  <c r="D15" i="15" l="1"/>
  <c r="D15" i="10"/>
  <c r="B14" i="8"/>
  <c r="F15" i="15" l="1"/>
  <c r="E15" i="15"/>
  <c r="D16" i="15"/>
  <c r="D16" i="10"/>
  <c r="B15" i="8"/>
  <c r="D17" i="15" l="1"/>
  <c r="F16" i="15"/>
  <c r="E16" i="15"/>
  <c r="D17" i="10"/>
  <c r="B16" i="8"/>
  <c r="E17" i="15" l="1"/>
  <c r="D18" i="15"/>
  <c r="F17" i="15"/>
  <c r="D18" i="10"/>
  <c r="B17" i="8"/>
  <c r="F18" i="15" l="1"/>
  <c r="E18" i="15"/>
  <c r="D19" i="15"/>
  <c r="D19" i="10"/>
  <c r="B18" i="8"/>
  <c r="D20" i="15" l="1"/>
  <c r="F19" i="15"/>
  <c r="E19" i="15"/>
  <c r="F19" i="10"/>
  <c r="D20" i="10"/>
  <c r="E19" i="10"/>
  <c r="B19" i="8"/>
  <c r="F20" i="15" l="1"/>
  <c r="E20" i="15"/>
  <c r="D21" i="15"/>
  <c r="F20" i="10"/>
  <c r="D21" i="10"/>
  <c r="E20" i="10"/>
  <c r="B20" i="8"/>
  <c r="E49" i="8"/>
  <c r="F49" i="8"/>
  <c r="E64" i="8"/>
  <c r="F64" i="8"/>
  <c r="E34" i="8"/>
  <c r="F94" i="8"/>
  <c r="F34" i="8"/>
  <c r="E79" i="8"/>
  <c r="E94" i="8"/>
  <c r="F79" i="8"/>
  <c r="E19" i="8"/>
  <c r="F19" i="8"/>
  <c r="D22" i="15" l="1"/>
  <c r="F21" i="15"/>
  <c r="E21" i="15"/>
  <c r="D22" i="10"/>
  <c r="F21" i="10"/>
  <c r="E21" i="10"/>
  <c r="B21" i="8"/>
  <c r="E80" i="8"/>
  <c r="E95" i="8"/>
  <c r="F80" i="8"/>
  <c r="E20" i="8"/>
  <c r="F20" i="8"/>
  <c r="F95" i="8"/>
  <c r="F35" i="8"/>
  <c r="E50" i="8"/>
  <c r="F50" i="8"/>
  <c r="E65" i="8"/>
  <c r="E35" i="8"/>
  <c r="F65" i="8"/>
  <c r="D23" i="15" l="1"/>
  <c r="F22" i="15"/>
  <c r="E22" i="15"/>
  <c r="D23" i="10"/>
  <c r="E22" i="10"/>
  <c r="F22" i="10"/>
  <c r="B22" i="8"/>
  <c r="E81" i="8"/>
  <c r="F81" i="8"/>
  <c r="E36" i="8"/>
  <c r="F21" i="8"/>
  <c r="F96" i="8"/>
  <c r="F36" i="8"/>
  <c r="F51" i="8"/>
  <c r="E96" i="8"/>
  <c r="E51" i="8"/>
  <c r="E66" i="8"/>
  <c r="F66" i="8"/>
  <c r="E21" i="8"/>
  <c r="F23" i="15" l="1"/>
  <c r="E23" i="15"/>
  <c r="D24" i="15"/>
  <c r="F23" i="10"/>
  <c r="E23" i="10"/>
  <c r="D24" i="10"/>
  <c r="B23" i="8"/>
  <c r="E67" i="8"/>
  <c r="F67" i="8"/>
  <c r="E97" i="8"/>
  <c r="F82" i="8"/>
  <c r="E22" i="8"/>
  <c r="E37" i="8"/>
  <c r="F22" i="8"/>
  <c r="F97" i="8"/>
  <c r="F37" i="8"/>
  <c r="E52" i="8"/>
  <c r="F52" i="8"/>
  <c r="E82" i="8"/>
  <c r="D25" i="15" l="1"/>
  <c r="F24" i="15"/>
  <c r="E24" i="15"/>
  <c r="E24" i="10"/>
  <c r="F24" i="10"/>
  <c r="D25" i="10"/>
  <c r="B24" i="8"/>
  <c r="E68" i="8"/>
  <c r="E83" i="8"/>
  <c r="E98" i="8"/>
  <c r="F83" i="8"/>
  <c r="E23" i="8"/>
  <c r="E38" i="8"/>
  <c r="F23" i="8"/>
  <c r="F38" i="8"/>
  <c r="F68" i="8"/>
  <c r="F98" i="8"/>
  <c r="E53" i="8"/>
  <c r="F53" i="8"/>
  <c r="D26" i="15" l="1"/>
  <c r="D26" i="10"/>
  <c r="E69" i="8"/>
  <c r="F69" i="8"/>
  <c r="E84" i="8"/>
  <c r="E99" i="8"/>
  <c r="F84" i="8"/>
  <c r="E24" i="8"/>
  <c r="E39" i="8"/>
  <c r="F24" i="8"/>
  <c r="F54" i="8"/>
  <c r="F99" i="8"/>
  <c r="F39" i="8"/>
  <c r="E54" i="8"/>
  <c r="D27" i="15" l="1"/>
  <c r="D27" i="10"/>
  <c r="D28" i="15" l="1"/>
  <c r="D28" i="10"/>
  <c r="D29" i="15" l="1"/>
  <c r="D29" i="10"/>
  <c r="D30" i="15" l="1"/>
  <c r="D30" i="10"/>
  <c r="D31" i="15" l="1"/>
  <c r="F30" i="15"/>
  <c r="E30" i="15"/>
  <c r="D31" i="10"/>
  <c r="F31" i="15" l="1"/>
  <c r="E31" i="15"/>
  <c r="D32" i="15"/>
  <c r="D32" i="10"/>
  <c r="D33" i="15" l="1"/>
  <c r="F32" i="15"/>
  <c r="E32" i="15"/>
  <c r="D33" i="10"/>
  <c r="F33" i="15" l="1"/>
  <c r="E33" i="15"/>
  <c r="D34" i="15"/>
  <c r="D34" i="10"/>
  <c r="D35" i="15" l="1"/>
  <c r="F34" i="15"/>
  <c r="E34" i="15"/>
  <c r="E34" i="10"/>
  <c r="F34" i="10"/>
  <c r="D35" i="10"/>
  <c r="F35" i="15" l="1"/>
  <c r="E35" i="15"/>
  <c r="D36" i="15"/>
  <c r="F35" i="10"/>
  <c r="E35" i="10"/>
  <c r="D36" i="10"/>
  <c r="D37" i="15" l="1"/>
  <c r="F36" i="15"/>
  <c r="E36" i="15"/>
  <c r="F36" i="10"/>
  <c r="E36" i="10"/>
  <c r="D37" i="10"/>
  <c r="F37" i="15" l="1"/>
  <c r="E37" i="15"/>
  <c r="D38" i="15"/>
  <c r="F37" i="10"/>
  <c r="E37" i="10"/>
  <c r="D38" i="10"/>
  <c r="D39" i="15" l="1"/>
  <c r="F38" i="15"/>
  <c r="E38" i="15"/>
  <c r="E38" i="10"/>
  <c r="F38" i="10"/>
  <c r="D39" i="10"/>
  <c r="F39" i="15" l="1"/>
  <c r="E39" i="15"/>
  <c r="D40" i="15"/>
  <c r="F39" i="10"/>
  <c r="E39" i="10"/>
  <c r="D40" i="10"/>
  <c r="D41" i="15" l="1"/>
  <c r="D41" i="10"/>
  <c r="D42" i="15" l="1"/>
  <c r="D42" i="10"/>
  <c r="D43" i="15" l="1"/>
  <c r="D43" i="10"/>
  <c r="D44" i="15" l="1"/>
  <c r="D44" i="10"/>
  <c r="D45" i="15" l="1"/>
  <c r="D45" i="10"/>
  <c r="F45" i="15" l="1"/>
  <c r="E45" i="15"/>
  <c r="D46" i="15"/>
  <c r="D46" i="10"/>
  <c r="D47" i="15" l="1"/>
  <c r="F46" i="15"/>
  <c r="E46" i="15"/>
  <c r="D47" i="10"/>
  <c r="F47" i="15" l="1"/>
  <c r="E47" i="15"/>
  <c r="D48" i="15"/>
  <c r="D48" i="10"/>
  <c r="D49" i="15" l="1"/>
  <c r="F48" i="15"/>
  <c r="E48" i="15"/>
  <c r="D49" i="10"/>
  <c r="F49" i="15" l="1"/>
  <c r="E49" i="15"/>
  <c r="D50" i="15"/>
  <c r="F49" i="10"/>
  <c r="E49" i="10"/>
  <c r="D50" i="10"/>
  <c r="D51" i="15" l="1"/>
  <c r="F50" i="15"/>
  <c r="E50" i="15"/>
  <c r="D51" i="10"/>
  <c r="F50" i="10"/>
  <c r="E50" i="10"/>
  <c r="F51" i="15" l="1"/>
  <c r="E51" i="15"/>
  <c r="D52" i="15"/>
  <c r="F51" i="10"/>
  <c r="E51" i="10"/>
  <c r="D52" i="10"/>
  <c r="D53" i="15" l="1"/>
  <c r="F52" i="15"/>
  <c r="E52" i="15"/>
  <c r="D53" i="10"/>
  <c r="E52" i="10"/>
  <c r="F52" i="10"/>
  <c r="F53" i="15" l="1"/>
  <c r="E53" i="15"/>
  <c r="D54" i="15"/>
  <c r="F53" i="10"/>
  <c r="E53" i="10"/>
  <c r="D54" i="10"/>
  <c r="D55" i="15" l="1"/>
  <c r="F54" i="15"/>
  <c r="E54" i="15"/>
  <c r="D55" i="10"/>
  <c r="F54" i="10"/>
  <c r="E54" i="10"/>
  <c r="D56" i="15" l="1"/>
  <c r="D56" i="10"/>
  <c r="D57" i="15" l="1"/>
  <c r="D57" i="10"/>
  <c r="D58" i="15" l="1"/>
  <c r="D58" i="10"/>
  <c r="D59" i="15" l="1"/>
  <c r="D59" i="10"/>
  <c r="D60" i="15" l="1"/>
  <c r="D60" i="10"/>
  <c r="D61" i="15" l="1"/>
  <c r="F60" i="15"/>
  <c r="E60" i="15"/>
  <c r="D61" i="10"/>
  <c r="F61" i="15" l="1"/>
  <c r="E61" i="15"/>
  <c r="D62" i="15"/>
  <c r="D62" i="10"/>
  <c r="D63" i="15" l="1"/>
  <c r="F62" i="15"/>
  <c r="E62" i="15"/>
  <c r="D63" i="10"/>
  <c r="F63" i="15" l="1"/>
  <c r="E63" i="15"/>
  <c r="D64" i="15"/>
  <c r="D64" i="10"/>
  <c r="D65" i="15" l="1"/>
  <c r="F64" i="15"/>
  <c r="E64" i="15"/>
  <c r="D65" i="10"/>
  <c r="F64" i="10"/>
  <c r="E64" i="10"/>
  <c r="F65" i="15" l="1"/>
  <c r="E65" i="15"/>
  <c r="D66" i="15"/>
  <c r="F65" i="10"/>
  <c r="E65" i="10"/>
  <c r="D66" i="10"/>
  <c r="D67" i="15" l="1"/>
  <c r="F66" i="15"/>
  <c r="E66" i="15"/>
  <c r="D67" i="10"/>
  <c r="E66" i="10"/>
  <c r="F66" i="10"/>
  <c r="F67" i="15" l="1"/>
  <c r="E67" i="15"/>
  <c r="D68" i="15"/>
  <c r="F67" i="10"/>
  <c r="E67" i="10"/>
  <c r="D68" i="10"/>
  <c r="D69" i="15" l="1"/>
  <c r="F68" i="15"/>
  <c r="E68" i="15"/>
  <c r="D69" i="10"/>
  <c r="F68" i="10"/>
  <c r="E68" i="10"/>
  <c r="F69" i="15" l="1"/>
  <c r="E69" i="15"/>
  <c r="D70" i="15"/>
  <c r="F69" i="10"/>
  <c r="E69" i="10"/>
  <c r="D70" i="10"/>
  <c r="D71" i="15" l="1"/>
  <c r="D71" i="10"/>
  <c r="D72" i="15" l="1"/>
  <c r="D72" i="10"/>
  <c r="D73" i="15" l="1"/>
  <c r="D73" i="10"/>
  <c r="D74" i="15" l="1"/>
  <c r="D74" i="10"/>
  <c r="D75" i="15" l="1"/>
  <c r="D75" i="10"/>
  <c r="F75" i="15" l="1"/>
  <c r="E75" i="15"/>
  <c r="D76" i="15"/>
  <c r="D76" i="10"/>
  <c r="D77" i="15" l="1"/>
  <c r="F76" i="15"/>
  <c r="E76" i="15"/>
  <c r="D77" i="10"/>
  <c r="F77" i="15" l="1"/>
  <c r="E77" i="15"/>
  <c r="D78" i="15"/>
  <c r="D78" i="10"/>
  <c r="D79" i="15" l="1"/>
  <c r="F78" i="15"/>
  <c r="E78" i="15"/>
  <c r="D79" i="10"/>
  <c r="F79" i="15" l="1"/>
  <c r="E79" i="15"/>
  <c r="D80" i="15"/>
  <c r="F79" i="10"/>
  <c r="E79" i="10"/>
  <c r="D80" i="10"/>
  <c r="D81" i="15" l="1"/>
  <c r="F80" i="15"/>
  <c r="E80" i="15"/>
  <c r="D81" i="10"/>
  <c r="F80" i="10"/>
  <c r="E80" i="10"/>
  <c r="F81" i="15" l="1"/>
  <c r="E81" i="15"/>
  <c r="D82" i="15"/>
  <c r="F81" i="10"/>
  <c r="E81" i="10"/>
  <c r="D82" i="10"/>
  <c r="D83" i="15" l="1"/>
  <c r="F82" i="15"/>
  <c r="E82" i="15"/>
  <c r="D83" i="10"/>
  <c r="E82" i="10"/>
  <c r="F82" i="10"/>
  <c r="F83" i="15" l="1"/>
  <c r="E83" i="15"/>
  <c r="D84" i="15"/>
  <c r="F83" i="10"/>
  <c r="E83" i="10"/>
  <c r="D84" i="10"/>
  <c r="D85" i="15" l="1"/>
  <c r="F84" i="15"/>
  <c r="E84" i="15"/>
  <c r="D85" i="10"/>
  <c r="F84" i="10"/>
  <c r="E84" i="10"/>
  <c r="D86" i="15" l="1"/>
  <c r="D86" i="10"/>
  <c r="D87" i="15" l="1"/>
  <c r="D87" i="10"/>
  <c r="D88" i="15" l="1"/>
  <c r="D88" i="10"/>
  <c r="D89" i="15" l="1"/>
  <c r="D89" i="10"/>
  <c r="D90" i="15" l="1"/>
  <c r="D90" i="10"/>
  <c r="D91" i="15" l="1"/>
  <c r="F90" i="15"/>
  <c r="E90" i="15"/>
  <c r="D91" i="10"/>
  <c r="F91" i="15" l="1"/>
  <c r="E91" i="15"/>
  <c r="D92" i="15"/>
  <c r="D92" i="10"/>
  <c r="D93" i="15" l="1"/>
  <c r="F92" i="15"/>
  <c r="E92" i="15"/>
  <c r="D93" i="10"/>
  <c r="F93" i="15" l="1"/>
  <c r="E93" i="15"/>
  <c r="D94" i="15"/>
  <c r="D94" i="10"/>
  <c r="D95" i="15" l="1"/>
  <c r="F94" i="15"/>
  <c r="E94" i="15"/>
  <c r="D95" i="10"/>
  <c r="F94" i="10"/>
  <c r="E94" i="10"/>
  <c r="F95" i="15" l="1"/>
  <c r="E95" i="15"/>
  <c r="D96" i="15"/>
  <c r="F95" i="10"/>
  <c r="E95" i="10"/>
  <c r="D96" i="10"/>
  <c r="D97" i="15" l="1"/>
  <c r="F96" i="15"/>
  <c r="E96" i="15"/>
  <c r="D97" i="10"/>
  <c r="F96" i="10"/>
  <c r="E96" i="10"/>
  <c r="F97" i="15" l="1"/>
  <c r="E97" i="15"/>
  <c r="D98" i="15"/>
  <c r="F97" i="10"/>
  <c r="E97" i="10"/>
  <c r="D98" i="10"/>
  <c r="D99" i="15" l="1"/>
  <c r="F98" i="15"/>
  <c r="E98" i="15"/>
  <c r="D99" i="10"/>
  <c r="E98" i="10"/>
  <c r="F98" i="10"/>
  <c r="F99" i="15" l="1"/>
  <c r="E99" i="15"/>
  <c r="F99" i="10"/>
  <c r="E99" i="10"/>
  <c r="E5" i="7" l="1"/>
  <c r="E6" i="7"/>
  <c r="E7" i="7"/>
  <c r="E8" i="7"/>
  <c r="E9" i="7"/>
  <c r="E10" i="7"/>
  <c r="E11" i="7"/>
  <c r="E12" i="7"/>
  <c r="E13" i="7"/>
  <c r="E14" i="7"/>
  <c r="E15" i="7"/>
  <c r="E16" i="7"/>
  <c r="B3" i="7"/>
  <c r="D2" i="7"/>
  <c r="C2" i="7"/>
  <c r="I7" i="7" l="1"/>
  <c r="Q1" i="7" s="1"/>
  <c r="Q1" i="12"/>
  <c r="I6" i="7"/>
  <c r="P1" i="7" s="1"/>
  <c r="P1" i="12"/>
  <c r="I5" i="7"/>
  <c r="O1" i="7" s="1"/>
  <c r="O1" i="12"/>
  <c r="E4" i="7"/>
  <c r="E3" i="7"/>
  <c r="B4" i="7"/>
  <c r="E2" i="7"/>
  <c r="B2" i="7"/>
  <c r="T7" i="4" l="1"/>
  <c r="S7" i="4"/>
  <c r="F3" i="2" l="1"/>
  <c r="E3" i="2"/>
  <c r="C3" i="2"/>
  <c r="B3" i="2"/>
  <c r="B2" i="2"/>
  <c r="B11" i="2"/>
  <c r="E2" i="2"/>
  <c r="E10" i="1"/>
  <c r="D10" i="1"/>
  <c r="E12" i="1"/>
  <c r="D12" i="1"/>
  <c r="E11" i="1"/>
  <c r="L7" i="4"/>
  <c r="D9" i="1"/>
  <c r="D8" i="1"/>
  <c r="L7" i="3" l="1"/>
  <c r="A1" i="8"/>
  <c r="D1" i="8" s="1"/>
  <c r="L7" i="14"/>
  <c r="A1" i="10"/>
  <c r="A3" i="10" s="1"/>
  <c r="B3" i="10" s="1"/>
  <c r="I4" i="7" l="1"/>
  <c r="N1" i="7" s="1"/>
  <c r="B2" i="8"/>
  <c r="P7" i="3"/>
  <c r="F2" i="17" s="1"/>
  <c r="M7" i="3"/>
  <c r="A2" i="17" s="1"/>
  <c r="D1" i="15"/>
  <c r="A3" i="15"/>
  <c r="B3" i="15" s="1"/>
  <c r="D1" i="10"/>
  <c r="E2" i="10" s="1"/>
  <c r="F3" i="10" s="1"/>
  <c r="A3" i="8"/>
  <c r="M7" i="14"/>
  <c r="A2" i="12" s="1"/>
  <c r="P7" i="14"/>
  <c r="F2" i="12" s="1"/>
  <c r="C3" i="10"/>
  <c r="A4" i="10"/>
  <c r="C4" i="10" s="1"/>
  <c r="G1" i="8"/>
  <c r="J1" i="8" s="1"/>
  <c r="M1" i="8" s="1"/>
  <c r="P1" i="8" s="1"/>
  <c r="E10" i="8" l="1"/>
  <c r="M7" i="4" s="1"/>
  <c r="A2" i="7" s="1"/>
  <c r="A3" i="6"/>
  <c r="I2" i="7" s="1"/>
  <c r="L1" i="7" s="1"/>
  <c r="C2" i="8"/>
  <c r="Q2" i="8" s="1"/>
  <c r="I3" i="7"/>
  <c r="M1" i="7" s="1"/>
  <c r="C3" i="8"/>
  <c r="B3" i="8"/>
  <c r="C3" i="15"/>
  <c r="A4" i="15"/>
  <c r="C4" i="15" s="1"/>
  <c r="G1" i="15"/>
  <c r="J1" i="15" s="1"/>
  <c r="M1" i="15" s="1"/>
  <c r="E2" i="15"/>
  <c r="G1" i="10"/>
  <c r="J1" i="10" s="1"/>
  <c r="M1" i="10" s="1"/>
  <c r="P1" i="10" s="1"/>
  <c r="Q2" i="10" s="1"/>
  <c r="A4" i="8"/>
  <c r="C4" i="8" s="1"/>
  <c r="G2" i="12"/>
  <c r="B4" i="10"/>
  <c r="E4" i="10"/>
  <c r="A5" i="10"/>
  <c r="B5" i="10" s="1"/>
  <c r="F2" i="10"/>
  <c r="S1" i="8"/>
  <c r="F10" i="8" l="1"/>
  <c r="P7" i="4" s="1"/>
  <c r="F2" i="7" s="1"/>
  <c r="G2" i="7" s="1"/>
  <c r="E2" i="8"/>
  <c r="S1" i="10"/>
  <c r="V1" i="10" s="1"/>
  <c r="Y1" i="10" s="1"/>
  <c r="H2" i="10"/>
  <c r="I3" i="10" s="1"/>
  <c r="H4" i="10" s="1"/>
  <c r="I4" i="10" s="1"/>
  <c r="B4" i="8"/>
  <c r="F3" i="15"/>
  <c r="E4" i="15" s="1"/>
  <c r="A5" i="15"/>
  <c r="B5" i="15" s="1"/>
  <c r="B4" i="15"/>
  <c r="E3" i="15"/>
  <c r="F2" i="15"/>
  <c r="H2" i="15" s="1"/>
  <c r="I3" i="15" s="1"/>
  <c r="H4" i="15" s="1"/>
  <c r="G2" i="17"/>
  <c r="A5" i="8"/>
  <c r="B5" i="8" s="1"/>
  <c r="R2" i="10"/>
  <c r="W3" i="10" s="1"/>
  <c r="V3" i="10" s="1"/>
  <c r="P2" i="10"/>
  <c r="W2" i="10"/>
  <c r="A6" i="10"/>
  <c r="F40" i="10" s="1"/>
  <c r="F5" i="10"/>
  <c r="C5" i="10"/>
  <c r="F4" i="10"/>
  <c r="E3" i="10"/>
  <c r="R2" i="8"/>
  <c r="P2" i="8"/>
  <c r="E3" i="8" l="1"/>
  <c r="D2" i="8" s="1"/>
  <c r="F2" i="8"/>
  <c r="H2" i="8" s="1"/>
  <c r="I3" i="8" s="1"/>
  <c r="F3" i="8"/>
  <c r="E4" i="8" s="1"/>
  <c r="D2" i="15"/>
  <c r="D3" i="15" s="1"/>
  <c r="D4" i="15" s="1"/>
  <c r="I2" i="15"/>
  <c r="K2" i="15" s="1"/>
  <c r="L3" i="15" s="1"/>
  <c r="K4" i="15" s="1"/>
  <c r="A6" i="15"/>
  <c r="C6" i="15" s="1"/>
  <c r="F4" i="15"/>
  <c r="H3" i="15" s="1"/>
  <c r="I5" i="15"/>
  <c r="C5" i="15"/>
  <c r="F5" i="15"/>
  <c r="C5" i="8"/>
  <c r="A6" i="8"/>
  <c r="E25" i="15"/>
  <c r="E55" i="15"/>
  <c r="Q3" i="10"/>
  <c r="P3" i="10" s="1"/>
  <c r="E45" i="10" s="1"/>
  <c r="R3" i="10"/>
  <c r="T2" i="10"/>
  <c r="U2" i="10" s="1"/>
  <c r="E25" i="10"/>
  <c r="F25" i="10"/>
  <c r="E55" i="10"/>
  <c r="E70" i="10"/>
  <c r="E85" i="10"/>
  <c r="F85" i="10"/>
  <c r="F55" i="10"/>
  <c r="D2" i="10"/>
  <c r="D3" i="10" s="1"/>
  <c r="D4" i="10" s="1"/>
  <c r="I5" i="10"/>
  <c r="H5" i="10" s="1"/>
  <c r="X2" i="10"/>
  <c r="Z2" i="10" s="1"/>
  <c r="V2" i="10"/>
  <c r="E40" i="10"/>
  <c r="C6" i="10"/>
  <c r="E5" i="10" s="1"/>
  <c r="B6" i="10"/>
  <c r="E6" i="10"/>
  <c r="F70" i="10"/>
  <c r="I2" i="10"/>
  <c r="K2" i="10" s="1"/>
  <c r="L3" i="10" s="1"/>
  <c r="H3" i="10"/>
  <c r="R3" i="8"/>
  <c r="Q3" i="8"/>
  <c r="P3" i="8" s="1"/>
  <c r="T2" i="8" l="1"/>
  <c r="S2" i="8" s="1"/>
  <c r="E85" i="8"/>
  <c r="C6" i="8"/>
  <c r="E5" i="8" s="1"/>
  <c r="F5" i="8"/>
  <c r="F4" i="8"/>
  <c r="H3" i="8" s="1"/>
  <c r="H4" i="8"/>
  <c r="I5" i="8" s="1"/>
  <c r="H6" i="8" s="1"/>
  <c r="I6" i="8" s="1"/>
  <c r="I2" i="8"/>
  <c r="K2" i="8" s="1"/>
  <c r="L3" i="8" s="1"/>
  <c r="K4" i="8" s="1"/>
  <c r="E40" i="8"/>
  <c r="F85" i="8"/>
  <c r="F40" i="8"/>
  <c r="E25" i="8"/>
  <c r="G2" i="15"/>
  <c r="G3" i="15" s="1"/>
  <c r="E55" i="8"/>
  <c r="L5" i="15"/>
  <c r="F55" i="8"/>
  <c r="F25" i="8"/>
  <c r="F70" i="15"/>
  <c r="E85" i="15"/>
  <c r="F75" i="10"/>
  <c r="F45" i="10"/>
  <c r="E15" i="10"/>
  <c r="B6" i="15"/>
  <c r="E70" i="15" s="1"/>
  <c r="H6" i="15"/>
  <c r="E6" i="15"/>
  <c r="E5" i="15"/>
  <c r="F85" i="15"/>
  <c r="F25" i="15"/>
  <c r="E40" i="15"/>
  <c r="F40" i="15"/>
  <c r="F55" i="15"/>
  <c r="L2" i="15"/>
  <c r="N2" i="15" s="1"/>
  <c r="N3" i="15" s="1"/>
  <c r="B6" i="8"/>
  <c r="E70" i="8" s="1"/>
  <c r="E6" i="8"/>
  <c r="F6" i="8" s="1"/>
  <c r="S2" i="10"/>
  <c r="E46" i="10" s="1"/>
  <c r="E90" i="10"/>
  <c r="E30" i="10"/>
  <c r="F90" i="10"/>
  <c r="F30" i="10"/>
  <c r="E75" i="10"/>
  <c r="F15" i="10"/>
  <c r="E60" i="10"/>
  <c r="F60" i="10"/>
  <c r="H6" i="10"/>
  <c r="I6" i="10" s="1"/>
  <c r="X3" i="10"/>
  <c r="F77" i="10" s="1"/>
  <c r="G2" i="10"/>
  <c r="G3" i="10" s="1"/>
  <c r="G4" i="10" s="1"/>
  <c r="G5" i="10" s="1"/>
  <c r="AA2" i="10"/>
  <c r="Y2" i="10"/>
  <c r="E17" i="10"/>
  <c r="F17" i="10"/>
  <c r="E32" i="10"/>
  <c r="F32" i="10"/>
  <c r="F47" i="10"/>
  <c r="E47" i="10"/>
  <c r="E62" i="10"/>
  <c r="F62" i="10"/>
  <c r="E77" i="10"/>
  <c r="F92" i="10"/>
  <c r="E92" i="10"/>
  <c r="K3" i="10"/>
  <c r="K4" i="10"/>
  <c r="D5" i="10"/>
  <c r="D6" i="10" s="1"/>
  <c r="F6" i="10"/>
  <c r="L2" i="10"/>
  <c r="N2" i="10" s="1"/>
  <c r="E90" i="8"/>
  <c r="F90" i="8"/>
  <c r="F75" i="8"/>
  <c r="F70" i="8"/>
  <c r="U2" i="8" l="1"/>
  <c r="H5" i="8"/>
  <c r="I4" i="8"/>
  <c r="K3" i="8" s="1"/>
  <c r="L2" i="8"/>
  <c r="N2" i="8" s="1"/>
  <c r="K6" i="15"/>
  <c r="L6" i="15" s="1"/>
  <c r="F91" i="10"/>
  <c r="F76" i="10"/>
  <c r="E61" i="10"/>
  <c r="D5" i="15"/>
  <c r="D6" i="15" s="1"/>
  <c r="F11" i="15" s="1"/>
  <c r="C11" i="15" s="1"/>
  <c r="I4" i="15"/>
  <c r="K3" i="15" s="1"/>
  <c r="J2" i="15" s="1"/>
  <c r="F46" i="10"/>
  <c r="F31" i="10"/>
  <c r="E31" i="10"/>
  <c r="E91" i="10"/>
  <c r="E16" i="10"/>
  <c r="N4" i="15"/>
  <c r="E76" i="10"/>
  <c r="F16" i="10"/>
  <c r="F6" i="15"/>
  <c r="H5" i="15" s="1"/>
  <c r="L4" i="15" s="1"/>
  <c r="O3" i="15" s="1"/>
  <c r="I6" i="15"/>
  <c r="K5" i="15" s="1"/>
  <c r="F61" i="10"/>
  <c r="G6" i="10"/>
  <c r="E12" i="10" s="1"/>
  <c r="J2" i="10"/>
  <c r="J3" i="10" s="1"/>
  <c r="J4" i="10" s="1"/>
  <c r="E41" i="10"/>
  <c r="F41" i="10"/>
  <c r="F71" i="10"/>
  <c r="E56" i="10"/>
  <c r="F56" i="10"/>
  <c r="E71" i="10"/>
  <c r="L5" i="10"/>
  <c r="L4" i="10"/>
  <c r="E18" i="10"/>
  <c r="F18" i="10"/>
  <c r="F33" i="10"/>
  <c r="E33" i="10"/>
  <c r="E48" i="10"/>
  <c r="F48" i="10"/>
  <c r="F63" i="10"/>
  <c r="E63" i="10"/>
  <c r="E78" i="10"/>
  <c r="F78" i="10"/>
  <c r="F93" i="10"/>
  <c r="E93" i="10"/>
  <c r="N3" i="10"/>
  <c r="O2" i="10"/>
  <c r="M2" i="10"/>
  <c r="F11" i="10"/>
  <c r="C11" i="10" s="1"/>
  <c r="F86" i="10"/>
  <c r="F26" i="10"/>
  <c r="E86" i="10"/>
  <c r="E26" i="10"/>
  <c r="E11" i="10"/>
  <c r="F48" i="8"/>
  <c r="E48" i="8"/>
  <c r="E63" i="8"/>
  <c r="E33" i="8"/>
  <c r="F18" i="8"/>
  <c r="F63" i="8"/>
  <c r="E93" i="8"/>
  <c r="F93" i="8"/>
  <c r="E78" i="8"/>
  <c r="F78" i="8"/>
  <c r="E18" i="8"/>
  <c r="F33" i="8"/>
  <c r="D3" i="8"/>
  <c r="L4" i="8"/>
  <c r="L5" i="8"/>
  <c r="O2" i="8" l="1"/>
  <c r="N3" i="8"/>
  <c r="F87" i="10"/>
  <c r="F72" i="10"/>
  <c r="O2" i="15"/>
  <c r="F57" i="10"/>
  <c r="G4" i="15"/>
  <c r="G5" i="15" s="1"/>
  <c r="G6" i="15" s="1"/>
  <c r="J3" i="15" s="1"/>
  <c r="N5" i="15"/>
  <c r="O4" i="15"/>
  <c r="E56" i="15"/>
  <c r="E71" i="15"/>
  <c r="F27" i="10"/>
  <c r="F12" i="10"/>
  <c r="E72" i="15"/>
  <c r="E41" i="15"/>
  <c r="F41" i="15"/>
  <c r="F42" i="10"/>
  <c r="E11" i="15"/>
  <c r="E86" i="15"/>
  <c r="E26" i="15"/>
  <c r="E87" i="10"/>
  <c r="F86" i="15"/>
  <c r="E57" i="10"/>
  <c r="E27" i="10"/>
  <c r="F26" i="15"/>
  <c r="E42" i="10"/>
  <c r="F71" i="15"/>
  <c r="F56" i="15"/>
  <c r="C12" i="10"/>
  <c r="E72" i="10"/>
  <c r="K5" i="10"/>
  <c r="J5" i="10" s="1"/>
  <c r="K6" i="10"/>
  <c r="L6" i="10" s="1"/>
  <c r="O3" i="10"/>
  <c r="M3" i="10"/>
  <c r="N4" i="10"/>
  <c r="D4" i="8"/>
  <c r="D5" i="8" s="1"/>
  <c r="D6" i="8" s="1"/>
  <c r="K5" i="8"/>
  <c r="K6" i="8"/>
  <c r="L6" i="8" s="1"/>
  <c r="G2" i="8"/>
  <c r="N4" i="8" l="1"/>
  <c r="O3" i="8"/>
  <c r="E12" i="15"/>
  <c r="C12" i="15" s="1"/>
  <c r="F12" i="15"/>
  <c r="F72" i="15"/>
  <c r="E42" i="15"/>
  <c r="F57" i="15"/>
  <c r="E57" i="15"/>
  <c r="F42" i="15"/>
  <c r="E87" i="15"/>
  <c r="F27" i="15"/>
  <c r="F87" i="15"/>
  <c r="E27" i="15"/>
  <c r="J4" i="15"/>
  <c r="M2" i="15"/>
  <c r="M3" i="15" s="1"/>
  <c r="O5" i="15"/>
  <c r="N6" i="15"/>
  <c r="J6" i="10"/>
  <c r="E88" i="10" s="1"/>
  <c r="M4" i="10"/>
  <c r="O4" i="10"/>
  <c r="N5" i="10"/>
  <c r="E86" i="8"/>
  <c r="F86" i="8"/>
  <c r="G3" i="8"/>
  <c r="G4" i="8" s="1"/>
  <c r="E41" i="8"/>
  <c r="F41" i="8"/>
  <c r="F56" i="8"/>
  <c r="E71" i="8"/>
  <c r="E26" i="8"/>
  <c r="F71" i="8"/>
  <c r="E11" i="8"/>
  <c r="J2" i="8"/>
  <c r="E56" i="8"/>
  <c r="F11" i="8"/>
  <c r="C11" i="8" s="1"/>
  <c r="F26" i="8"/>
  <c r="N5" i="8" l="1"/>
  <c r="O4" i="8"/>
  <c r="J5" i="15"/>
  <c r="O6" i="15"/>
  <c r="E43" i="10"/>
  <c r="F28" i="10"/>
  <c r="E28" i="10"/>
  <c r="E73" i="10"/>
  <c r="E58" i="10"/>
  <c r="F58" i="10"/>
  <c r="F13" i="10"/>
  <c r="F43" i="10"/>
  <c r="F73" i="10"/>
  <c r="F88" i="10"/>
  <c r="E13" i="10"/>
  <c r="C13" i="10" s="1"/>
  <c r="O5" i="10"/>
  <c r="M5" i="10"/>
  <c r="N6" i="10"/>
  <c r="E75" i="8"/>
  <c r="G5" i="8"/>
  <c r="N6" i="8" l="1"/>
  <c r="O6" i="8" s="1"/>
  <c r="O5" i="8"/>
  <c r="J6" i="15"/>
  <c r="O6" i="10"/>
  <c r="M6" i="10"/>
  <c r="F74" i="10" s="1"/>
  <c r="G6" i="8"/>
  <c r="J3" i="8" s="1"/>
  <c r="M2" i="8" s="1"/>
  <c r="E30" i="8"/>
  <c r="E15" i="8"/>
  <c r="E45" i="8"/>
  <c r="F45" i="8"/>
  <c r="E60" i="8"/>
  <c r="F30" i="8"/>
  <c r="F60" i="8"/>
  <c r="F15" i="8"/>
  <c r="E13" i="15" l="1"/>
  <c r="C13" i="15" s="1"/>
  <c r="M4" i="15"/>
  <c r="F28" i="15"/>
  <c r="E28" i="15"/>
  <c r="F43" i="15"/>
  <c r="F13" i="15"/>
  <c r="E43" i="15"/>
  <c r="F73" i="15"/>
  <c r="E88" i="15"/>
  <c r="E73" i="15"/>
  <c r="E58" i="15"/>
  <c r="F58" i="15"/>
  <c r="F88" i="15"/>
  <c r="E57" i="8"/>
  <c r="F12" i="8"/>
  <c r="F57" i="8"/>
  <c r="E27" i="8"/>
  <c r="F72" i="8"/>
  <c r="E12" i="8"/>
  <c r="C12" i="8" s="1"/>
  <c r="E72" i="8"/>
  <c r="E42" i="8"/>
  <c r="F14" i="10"/>
  <c r="F44" i="10"/>
  <c r="E14" i="10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C27" i="10" s="1"/>
  <c r="C28" i="10" s="1"/>
  <c r="E74" i="10"/>
  <c r="F29" i="10"/>
  <c r="E59" i="10"/>
  <c r="F89" i="10"/>
  <c r="F59" i="10"/>
  <c r="E29" i="10"/>
  <c r="E89" i="10"/>
  <c r="E44" i="10"/>
  <c r="F42" i="8"/>
  <c r="F27" i="8"/>
  <c r="E87" i="8"/>
  <c r="J4" i="8"/>
  <c r="J5" i="8" s="1"/>
  <c r="J6" i="8" s="1"/>
  <c r="E28" i="8" s="1"/>
  <c r="F87" i="8"/>
  <c r="M3" i="8"/>
  <c r="M4" i="8" s="1"/>
  <c r="M5" i="8" s="1"/>
  <c r="M6" i="8" s="1"/>
  <c r="M5" i="15" l="1"/>
  <c r="M6" i="15" s="1"/>
  <c r="E14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0"/>
  <c r="C30" i="10" s="1"/>
  <c r="C31" i="10" s="1"/>
  <c r="C32" i="10" s="1"/>
  <c r="C33" i="10" s="1"/>
  <c r="C34" i="10" s="1"/>
  <c r="C35" i="10" s="1"/>
  <c r="C36" i="10" s="1"/>
  <c r="C37" i="10" s="1"/>
  <c r="C38" i="10" s="1"/>
  <c r="C39" i="10" s="1"/>
  <c r="C40" i="10" s="1"/>
  <c r="C41" i="10" s="1"/>
  <c r="C42" i="10" s="1"/>
  <c r="C43" i="10" s="1"/>
  <c r="C44" i="10" s="1"/>
  <c r="C45" i="10" s="1"/>
  <c r="C46" i="10" s="1"/>
  <c r="C47" i="10" s="1"/>
  <c r="C48" i="10" s="1"/>
  <c r="C49" i="10" s="1"/>
  <c r="C50" i="10" s="1"/>
  <c r="C51" i="10" s="1"/>
  <c r="C52" i="10" s="1"/>
  <c r="C53" i="10" s="1"/>
  <c r="C54" i="10" s="1"/>
  <c r="C55" i="10" s="1"/>
  <c r="C56" i="10" s="1"/>
  <c r="C57" i="10" s="1"/>
  <c r="C58" i="10" s="1"/>
  <c r="C59" i="10" s="1"/>
  <c r="C60" i="10" s="1"/>
  <c r="C61" i="10" s="1"/>
  <c r="C62" i="10" s="1"/>
  <c r="C63" i="10" s="1"/>
  <c r="C64" i="10" s="1"/>
  <c r="C65" i="10" s="1"/>
  <c r="C66" i="10" s="1"/>
  <c r="C67" i="10" s="1"/>
  <c r="C68" i="10" s="1"/>
  <c r="C69" i="10" s="1"/>
  <c r="C70" i="10" s="1"/>
  <c r="C71" i="10" s="1"/>
  <c r="C72" i="10" s="1"/>
  <c r="C73" i="10" s="1"/>
  <c r="C74" i="10" s="1"/>
  <c r="C75" i="10" s="1"/>
  <c r="C76" i="10" s="1"/>
  <c r="C77" i="10" s="1"/>
  <c r="C78" i="10" s="1"/>
  <c r="C79" i="10" s="1"/>
  <c r="C80" i="10" s="1"/>
  <c r="C81" i="10" s="1"/>
  <c r="C82" i="10" s="1"/>
  <c r="C83" i="10" s="1"/>
  <c r="C84" i="10" s="1"/>
  <c r="C85" i="10" s="1"/>
  <c r="C86" i="10" s="1"/>
  <c r="C87" i="10" s="1"/>
  <c r="C88" i="10" s="1"/>
  <c r="C89" i="10" s="1"/>
  <c r="C90" i="10" s="1"/>
  <c r="C91" i="10" s="1"/>
  <c r="C92" i="10" s="1"/>
  <c r="C93" i="10" s="1"/>
  <c r="C94" i="10" s="1"/>
  <c r="C95" i="10" s="1"/>
  <c r="C96" i="10" s="1"/>
  <c r="C97" i="10" s="1"/>
  <c r="C98" i="10" s="1"/>
  <c r="C99" i="10" s="1"/>
  <c r="L8" i="14" s="1"/>
  <c r="L9" i="14" s="1"/>
  <c r="L10" i="14" s="1"/>
  <c r="L11" i="14" s="1"/>
  <c r="L12" i="14" s="1"/>
  <c r="L13" i="14" s="1"/>
  <c r="L14" i="14" s="1"/>
  <c r="L15" i="14" s="1"/>
  <c r="L16" i="14" s="1"/>
  <c r="L17" i="14" s="1"/>
  <c r="L18" i="14" s="1"/>
  <c r="L19" i="14" s="1"/>
  <c r="L20" i="14" s="1"/>
  <c r="L21" i="14" s="1"/>
  <c r="F13" i="8"/>
  <c r="E73" i="8"/>
  <c r="F28" i="8"/>
  <c r="E13" i="8"/>
  <c r="C13" i="8" s="1"/>
  <c r="F73" i="8"/>
  <c r="F43" i="8"/>
  <c r="F58" i="8"/>
  <c r="E88" i="8"/>
  <c r="F89" i="8"/>
  <c r="E58" i="8"/>
  <c r="F88" i="8"/>
  <c r="E89" i="8"/>
  <c r="E43" i="8"/>
  <c r="F76" i="8"/>
  <c r="F44" i="8"/>
  <c r="F74" i="8"/>
  <c r="E44" i="8"/>
  <c r="E29" i="8"/>
  <c r="F59" i="8"/>
  <c r="E59" i="8"/>
  <c r="E74" i="8"/>
  <c r="F29" i="8"/>
  <c r="F14" i="8"/>
  <c r="E14" i="8"/>
  <c r="E59" i="15" l="1"/>
  <c r="F14" i="15"/>
  <c r="F29" i="15"/>
  <c r="E29" i="15"/>
  <c r="C29" i="15" s="1"/>
  <c r="C30" i="15" s="1"/>
  <c r="C31" i="15" s="1"/>
  <c r="C32" i="15" s="1"/>
  <c r="C33" i="15" s="1"/>
  <c r="C34" i="15" s="1"/>
  <c r="C35" i="15" s="1"/>
  <c r="C36" i="15" s="1"/>
  <c r="C37" i="15" s="1"/>
  <c r="C38" i="15" s="1"/>
  <c r="C39" i="15" s="1"/>
  <c r="C40" i="15" s="1"/>
  <c r="C41" i="15" s="1"/>
  <c r="C42" i="15" s="1"/>
  <c r="C43" i="15" s="1"/>
  <c r="E89" i="15"/>
  <c r="F59" i="15"/>
  <c r="F44" i="15"/>
  <c r="E74" i="15"/>
  <c r="E44" i="15"/>
  <c r="F89" i="15"/>
  <c r="F74" i="15"/>
  <c r="C14" i="8"/>
  <c r="C15" i="8" s="1"/>
  <c r="F91" i="8"/>
  <c r="E91" i="8"/>
  <c r="F16" i="8"/>
  <c r="E31" i="8"/>
  <c r="E92" i="8"/>
  <c r="E61" i="8"/>
  <c r="E46" i="8"/>
  <c r="F31" i="8"/>
  <c r="F46" i="8"/>
  <c r="F61" i="8"/>
  <c r="E16" i="8"/>
  <c r="E76" i="8"/>
  <c r="C44" i="15" l="1"/>
  <c r="C45" i="15" s="1"/>
  <c r="C46" i="15" s="1"/>
  <c r="C47" i="15" s="1"/>
  <c r="C48" i="15" s="1"/>
  <c r="C49" i="15" s="1"/>
  <c r="C50" i="15" s="1"/>
  <c r="C51" i="15" s="1"/>
  <c r="C52" i="15" s="1"/>
  <c r="C53" i="15" s="1"/>
  <c r="C54" i="15" s="1"/>
  <c r="C55" i="15" s="1"/>
  <c r="C56" i="15" s="1"/>
  <c r="C57" i="15" s="1"/>
  <c r="C58" i="15" s="1"/>
  <c r="C59" i="15" s="1"/>
  <c r="C60" i="15" s="1"/>
  <c r="C61" i="15" s="1"/>
  <c r="C62" i="15" s="1"/>
  <c r="C63" i="15" s="1"/>
  <c r="C64" i="15" s="1"/>
  <c r="C65" i="15" s="1"/>
  <c r="C66" i="15" s="1"/>
  <c r="C67" i="15" s="1"/>
  <c r="C68" i="15" s="1"/>
  <c r="C69" i="15" s="1"/>
  <c r="C70" i="15" s="1"/>
  <c r="C71" i="15" s="1"/>
  <c r="C72" i="15" s="1"/>
  <c r="C73" i="15" s="1"/>
  <c r="C74" i="15" s="1"/>
  <c r="C75" i="15" s="1"/>
  <c r="C76" i="15" s="1"/>
  <c r="C77" i="15" s="1"/>
  <c r="C78" i="15" s="1"/>
  <c r="C79" i="15" s="1"/>
  <c r="C80" i="15" s="1"/>
  <c r="C81" i="15" s="1"/>
  <c r="C82" i="15" s="1"/>
  <c r="C83" i="15" s="1"/>
  <c r="C84" i="15" s="1"/>
  <c r="C85" i="15" s="1"/>
  <c r="C86" i="15" s="1"/>
  <c r="C87" i="15" s="1"/>
  <c r="C88" i="15" s="1"/>
  <c r="C89" i="15" s="1"/>
  <c r="C90" i="15" s="1"/>
  <c r="C91" i="15" s="1"/>
  <c r="C92" i="15" s="1"/>
  <c r="C93" i="15" s="1"/>
  <c r="C94" i="15" s="1"/>
  <c r="C95" i="15" s="1"/>
  <c r="C96" i="15" s="1"/>
  <c r="C97" i="15" s="1"/>
  <c r="C98" i="15" s="1"/>
  <c r="C99" i="15" s="1"/>
  <c r="L8" i="3" s="1"/>
  <c r="F92" i="8"/>
  <c r="F17" i="8"/>
  <c r="F77" i="8"/>
  <c r="E62" i="8"/>
  <c r="F47" i="8"/>
  <c r="E47" i="8"/>
  <c r="E17" i="8"/>
  <c r="E77" i="8"/>
  <c r="E32" i="8"/>
  <c r="F32" i="8"/>
  <c r="F62" i="8"/>
  <c r="C16" i="8"/>
  <c r="L9" i="3" l="1"/>
  <c r="P9" i="3" s="1"/>
  <c r="M8" i="3"/>
  <c r="P8" i="3"/>
  <c r="C17" i="8"/>
  <c r="L10" i="3" l="1"/>
  <c r="P10" i="3" s="1"/>
  <c r="C18" i="8"/>
  <c r="C19" i="8" s="1"/>
  <c r="C20" i="8" s="1"/>
  <c r="C21" i="8" s="1"/>
  <c r="C22" i="8" s="1"/>
  <c r="C23" i="8" s="1"/>
  <c r="C24" i="8" s="1"/>
  <c r="C25" i="8" s="1"/>
  <c r="C26" i="8" s="1"/>
  <c r="C27" i="8" s="1"/>
  <c r="C28" i="8" s="1"/>
  <c r="C29" i="8" s="1"/>
  <c r="C30" i="8" s="1"/>
  <c r="C31" i="8" s="1"/>
  <c r="C32" i="8" s="1"/>
  <c r="C33" i="8" s="1"/>
  <c r="C34" i="8" s="1"/>
  <c r="C35" i="8" s="1"/>
  <c r="C36" i="8" s="1"/>
  <c r="C37" i="8" s="1"/>
  <c r="C38" i="8" s="1"/>
  <c r="C39" i="8" s="1"/>
  <c r="C40" i="8" s="1"/>
  <c r="C41" i="8" s="1"/>
  <c r="C42" i="8" s="1"/>
  <c r="C43" i="8" s="1"/>
  <c r="C44" i="8" s="1"/>
  <c r="C45" i="8" s="1"/>
  <c r="C46" i="8" s="1"/>
  <c r="C47" i="8" s="1"/>
  <c r="C48" i="8" s="1"/>
  <c r="C49" i="8" s="1"/>
  <c r="C50" i="8" s="1"/>
  <c r="C51" i="8" s="1"/>
  <c r="C52" i="8" s="1"/>
  <c r="C53" i="8" s="1"/>
  <c r="C54" i="8" s="1"/>
  <c r="C55" i="8" s="1"/>
  <c r="C56" i="8" s="1"/>
  <c r="C57" i="8" s="1"/>
  <c r="C58" i="8" s="1"/>
  <c r="C59" i="8" s="1"/>
  <c r="C60" i="8" s="1"/>
  <c r="C61" i="8" s="1"/>
  <c r="C62" i="8" s="1"/>
  <c r="C63" i="8" s="1"/>
  <c r="C64" i="8" s="1"/>
  <c r="C65" i="8" s="1"/>
  <c r="C66" i="8" s="1"/>
  <c r="C67" i="8" s="1"/>
  <c r="C68" i="8" s="1"/>
  <c r="C69" i="8" s="1"/>
  <c r="C70" i="8" s="1"/>
  <c r="C71" i="8" s="1"/>
  <c r="C72" i="8" s="1"/>
  <c r="C73" i="8" s="1"/>
  <c r="C74" i="8" s="1"/>
  <c r="C75" i="8" s="1"/>
  <c r="C76" i="8" s="1"/>
  <c r="L11" i="3" l="1"/>
  <c r="P11" i="3" s="1"/>
  <c r="C77" i="8"/>
  <c r="C78" i="8" s="1"/>
  <c r="C79" i="8" s="1"/>
  <c r="C80" i="8" s="1"/>
  <c r="C81" i="8" s="1"/>
  <c r="C82" i="8" s="1"/>
  <c r="C83" i="8" s="1"/>
  <c r="C84" i="8" s="1"/>
  <c r="C85" i="8" s="1"/>
  <c r="C86" i="8" s="1"/>
  <c r="C87" i="8" s="1"/>
  <c r="C88" i="8" s="1"/>
  <c r="C89" i="8" s="1"/>
  <c r="L12" i="3" l="1"/>
  <c r="P12" i="3" s="1"/>
  <c r="C90" i="8"/>
  <c r="C91" i="8" s="1"/>
  <c r="C92" i="8" s="1"/>
  <c r="C93" i="8" s="1"/>
  <c r="C94" i="8" s="1"/>
  <c r="C95" i="8" s="1"/>
  <c r="C96" i="8" s="1"/>
  <c r="C97" i="8" s="1"/>
  <c r="C98" i="8" s="1"/>
  <c r="C99" i="8" s="1"/>
  <c r="L8" i="4" s="1"/>
  <c r="L13" i="3" l="1"/>
  <c r="L14" i="3" s="1"/>
  <c r="L9" i="4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P21" i="4" s="1"/>
  <c r="M8" i="14"/>
  <c r="P8" i="14"/>
  <c r="P13" i="3" l="1"/>
  <c r="L15" i="3"/>
  <c r="P14" i="3"/>
  <c r="M9" i="3"/>
  <c r="F3" i="17"/>
  <c r="A3" i="17"/>
  <c r="M9" i="14"/>
  <c r="A4" i="12" s="1"/>
  <c r="P9" i="14"/>
  <c r="F4" i="12" s="1"/>
  <c r="F3" i="12"/>
  <c r="A3" i="12"/>
  <c r="F16" i="7"/>
  <c r="M8" i="4"/>
  <c r="M10" i="4"/>
  <c r="M11" i="4"/>
  <c r="M9" i="4"/>
  <c r="P8" i="4"/>
  <c r="P9" i="4"/>
  <c r="M17" i="4"/>
  <c r="M16" i="4"/>
  <c r="P14" i="4"/>
  <c r="P13" i="4"/>
  <c r="M12" i="4"/>
  <c r="M14" i="4"/>
  <c r="P12" i="4"/>
  <c r="M19" i="4"/>
  <c r="P16" i="4"/>
  <c r="P19" i="4"/>
  <c r="M18" i="4"/>
  <c r="P15" i="4"/>
  <c r="P18" i="4"/>
  <c r="M15" i="4"/>
  <c r="P17" i="4"/>
  <c r="P11" i="4"/>
  <c r="M20" i="4"/>
  <c r="M13" i="4"/>
  <c r="M21" i="4"/>
  <c r="P20" i="4"/>
  <c r="P10" i="4"/>
  <c r="B7" i="7"/>
  <c r="B14" i="7"/>
  <c r="B11" i="7"/>
  <c r="B9" i="7"/>
  <c r="B5" i="7"/>
  <c r="B6" i="7"/>
  <c r="B12" i="7"/>
  <c r="B13" i="7"/>
  <c r="B15" i="7"/>
  <c r="B10" i="7"/>
  <c r="B8" i="7"/>
  <c r="B16" i="7"/>
  <c r="L16" i="3" l="1"/>
  <c r="P16" i="3" s="1"/>
  <c r="P15" i="3"/>
  <c r="M10" i="3"/>
  <c r="F4" i="17"/>
  <c r="A4" i="17"/>
  <c r="M10" i="14"/>
  <c r="P10" i="14"/>
  <c r="F5" i="12" s="1"/>
  <c r="X7" i="6"/>
  <c r="X8" i="6"/>
  <c r="X6" i="6"/>
  <c r="X4" i="6"/>
  <c r="X5" i="6"/>
  <c r="X3" i="6"/>
  <c r="W3" i="6"/>
  <c r="W7" i="6"/>
  <c r="W8" i="6"/>
  <c r="W6" i="6"/>
  <c r="W4" i="6"/>
  <c r="W5" i="6"/>
  <c r="O3" i="6"/>
  <c r="P5" i="6"/>
  <c r="P7" i="6"/>
  <c r="P8" i="6"/>
  <c r="P6" i="6"/>
  <c r="P4" i="6"/>
  <c r="P3" i="6"/>
  <c r="O7" i="6"/>
  <c r="O8" i="6"/>
  <c r="O4" i="6"/>
  <c r="O5" i="6"/>
  <c r="O6" i="6"/>
  <c r="V7" i="6"/>
  <c r="V8" i="6"/>
  <c r="V6" i="6"/>
  <c r="V4" i="6"/>
  <c r="V5" i="6"/>
  <c r="V3" i="6"/>
  <c r="T3" i="6"/>
  <c r="T6" i="6"/>
  <c r="T7" i="6"/>
  <c r="T8" i="6"/>
  <c r="T4" i="6"/>
  <c r="T5" i="6"/>
  <c r="N5" i="6"/>
  <c r="N7" i="6"/>
  <c r="N8" i="6"/>
  <c r="N6" i="6"/>
  <c r="N4" i="6"/>
  <c r="N3" i="6"/>
  <c r="L3" i="6"/>
  <c r="L7" i="6"/>
  <c r="L8" i="6"/>
  <c r="L6" i="6"/>
  <c r="L4" i="6"/>
  <c r="L5" i="6"/>
  <c r="U7" i="6"/>
  <c r="U8" i="6"/>
  <c r="U6" i="6"/>
  <c r="U4" i="6"/>
  <c r="U5" i="6"/>
  <c r="U3" i="6"/>
  <c r="M5" i="6"/>
  <c r="M6" i="6"/>
  <c r="M7" i="6"/>
  <c r="M8" i="6"/>
  <c r="M4" i="6"/>
  <c r="M3" i="6"/>
  <c r="A9" i="7"/>
  <c r="A4" i="7"/>
  <c r="F5" i="7"/>
  <c r="F10" i="7"/>
  <c r="A5" i="7"/>
  <c r="A10" i="7"/>
  <c r="F15" i="7"/>
  <c r="F8" i="7"/>
  <c r="A16" i="7"/>
  <c r="G16" i="7" s="1"/>
  <c r="A13" i="7"/>
  <c r="F9" i="7"/>
  <c r="A3" i="7"/>
  <c r="F13" i="7"/>
  <c r="A8" i="7"/>
  <c r="F14" i="7"/>
  <c r="A11" i="7"/>
  <c r="A15" i="7"/>
  <c r="A12" i="7"/>
  <c r="A7" i="7"/>
  <c r="F6" i="7"/>
  <c r="A14" i="7"/>
  <c r="F4" i="7"/>
  <c r="A6" i="7"/>
  <c r="F11" i="7"/>
  <c r="F12" i="7"/>
  <c r="F7" i="7"/>
  <c r="F3" i="7"/>
  <c r="W5" i="16" l="1"/>
  <c r="T6" i="16"/>
  <c r="V8" i="16"/>
  <c r="V6" i="16"/>
  <c r="W7" i="16"/>
  <c r="X8" i="16"/>
  <c r="X4" i="16"/>
  <c r="X7" i="16"/>
  <c r="U3" i="16"/>
  <c r="W3" i="16"/>
  <c r="T5" i="16"/>
  <c r="T4" i="16"/>
  <c r="U4" i="16"/>
  <c r="U7" i="16"/>
  <c r="U5" i="16"/>
  <c r="V5" i="16"/>
  <c r="V7" i="16"/>
  <c r="W6" i="16"/>
  <c r="W8" i="16"/>
  <c r="W4" i="16"/>
  <c r="X5" i="16"/>
  <c r="X6" i="16"/>
  <c r="T7" i="16"/>
  <c r="T3" i="16"/>
  <c r="V3" i="16"/>
  <c r="T8" i="16"/>
  <c r="V4" i="16"/>
  <c r="X3" i="16"/>
  <c r="U8" i="16"/>
  <c r="U6" i="16"/>
  <c r="G4" i="17"/>
  <c r="M11" i="3"/>
  <c r="F5" i="17"/>
  <c r="A5" i="17"/>
  <c r="G3" i="17"/>
  <c r="M11" i="14"/>
  <c r="P11" i="14"/>
  <c r="A5" i="12"/>
  <c r="H3" i="6"/>
  <c r="Y6" i="6"/>
  <c r="Y8" i="6"/>
  <c r="H8" i="6"/>
  <c r="F3" i="6"/>
  <c r="Y7" i="6"/>
  <c r="H7" i="6"/>
  <c r="Y5" i="6"/>
  <c r="H5" i="6"/>
  <c r="E7" i="6"/>
  <c r="H6" i="6"/>
  <c r="Y4" i="6"/>
  <c r="Y3" i="6"/>
  <c r="H4" i="6"/>
  <c r="E5" i="6"/>
  <c r="Q4" i="6"/>
  <c r="G4" i="6"/>
  <c r="Q8" i="6"/>
  <c r="G8" i="6"/>
  <c r="Q7" i="6"/>
  <c r="G7" i="6"/>
  <c r="Q6" i="6"/>
  <c r="G6" i="6"/>
  <c r="Q5" i="6"/>
  <c r="G5" i="6"/>
  <c r="E6" i="6"/>
  <c r="Q3" i="6"/>
  <c r="G3" i="6"/>
  <c r="F5" i="6"/>
  <c r="F7" i="6"/>
  <c r="F4" i="6"/>
  <c r="F8" i="6"/>
  <c r="F6" i="6"/>
  <c r="E4" i="6"/>
  <c r="E8" i="6"/>
  <c r="E3" i="6"/>
  <c r="D8" i="6"/>
  <c r="Z5" i="6"/>
  <c r="S5" i="6"/>
  <c r="Z4" i="6"/>
  <c r="S4" i="6"/>
  <c r="Z8" i="6"/>
  <c r="S8" i="6"/>
  <c r="Z7" i="6"/>
  <c r="S7" i="6"/>
  <c r="Z6" i="6"/>
  <c r="S6" i="6"/>
  <c r="R8" i="6"/>
  <c r="K8" i="6"/>
  <c r="R4" i="6"/>
  <c r="D4" i="6"/>
  <c r="K4" i="6"/>
  <c r="R6" i="6"/>
  <c r="K6" i="6"/>
  <c r="D6" i="6"/>
  <c r="R7" i="6"/>
  <c r="K7" i="6"/>
  <c r="D7" i="6"/>
  <c r="R5" i="6"/>
  <c r="K5" i="6"/>
  <c r="D5" i="6"/>
  <c r="Z3" i="6"/>
  <c r="S3" i="6"/>
  <c r="G5" i="7"/>
  <c r="G15" i="7"/>
  <c r="G9" i="7"/>
  <c r="G13" i="7"/>
  <c r="G14" i="7"/>
  <c r="G12" i="7"/>
  <c r="G10" i="7"/>
  <c r="G8" i="7"/>
  <c r="G7" i="7"/>
  <c r="G11" i="7"/>
  <c r="G3" i="7"/>
  <c r="G6" i="7"/>
  <c r="G4" i="7"/>
  <c r="G3" i="12"/>
  <c r="G4" i="12"/>
  <c r="Y3" i="16" l="1"/>
  <c r="Y5" i="16"/>
  <c r="S6" i="16"/>
  <c r="S4" i="16"/>
  <c r="Y7" i="16"/>
  <c r="Z4" i="16"/>
  <c r="Z5" i="16"/>
  <c r="Y6" i="16"/>
  <c r="Y4" i="16"/>
  <c r="Y8" i="16"/>
  <c r="Z7" i="16"/>
  <c r="Z6" i="16"/>
  <c r="S5" i="16"/>
  <c r="S3" i="16"/>
  <c r="S8" i="16"/>
  <c r="Z8" i="16"/>
  <c r="Z3" i="16"/>
  <c r="S7" i="16"/>
  <c r="G5" i="17"/>
  <c r="M12" i="3"/>
  <c r="A6" i="17"/>
  <c r="F6" i="17"/>
  <c r="M12" i="14"/>
  <c r="A7" i="12" s="1"/>
  <c r="P12" i="14"/>
  <c r="F7" i="12" s="1"/>
  <c r="F6" i="12"/>
  <c r="A6" i="12"/>
  <c r="I5" i="6"/>
  <c r="I6" i="6"/>
  <c r="I8" i="6"/>
  <c r="I7" i="6"/>
  <c r="AG3" i="6"/>
  <c r="I3" i="6"/>
  <c r="AG6" i="6"/>
  <c r="I4" i="6"/>
  <c r="AG4" i="6"/>
  <c r="AG8" i="6"/>
  <c r="C5" i="6"/>
  <c r="AG7" i="6"/>
  <c r="AG5" i="6"/>
  <c r="C7" i="6"/>
  <c r="AE3" i="6"/>
  <c r="AE7" i="6"/>
  <c r="AE4" i="6"/>
  <c r="AE6" i="6"/>
  <c r="AE5" i="6"/>
  <c r="AE8" i="6"/>
  <c r="C4" i="6"/>
  <c r="C6" i="6"/>
  <c r="J5" i="6"/>
  <c r="C8" i="6"/>
  <c r="J4" i="6"/>
  <c r="J6" i="6"/>
  <c r="J7" i="6"/>
  <c r="J8" i="6"/>
  <c r="G5" i="12"/>
  <c r="G6" i="17" l="1"/>
  <c r="M13" i="3"/>
  <c r="A7" i="17"/>
  <c r="F7" i="17"/>
  <c r="J5" i="7"/>
  <c r="J6" i="7"/>
  <c r="M13" i="14"/>
  <c r="A8" i="12" s="1"/>
  <c r="P13" i="14"/>
  <c r="F8" i="12" s="1"/>
  <c r="AD5" i="6"/>
  <c r="AD6" i="6"/>
  <c r="AD8" i="6"/>
  <c r="AD3" i="6"/>
  <c r="AD7" i="6"/>
  <c r="AD4" i="6"/>
  <c r="J4" i="7"/>
  <c r="J3" i="7"/>
  <c r="J7" i="7"/>
  <c r="G6" i="12"/>
  <c r="G7" i="17" l="1"/>
  <c r="M5" i="7"/>
  <c r="M14" i="3"/>
  <c r="F8" i="17"/>
  <c r="A8" i="17"/>
  <c r="O4" i="7"/>
  <c r="P5" i="7"/>
  <c r="O6" i="7"/>
  <c r="M14" i="14"/>
  <c r="A9" i="12" s="1"/>
  <c r="P14" i="14"/>
  <c r="F9" i="12" s="1"/>
  <c r="N5" i="7"/>
  <c r="P3" i="7"/>
  <c r="M6" i="7"/>
  <c r="M7" i="7"/>
  <c r="O3" i="7"/>
  <c r="N6" i="7"/>
  <c r="N3" i="7"/>
  <c r="P4" i="7"/>
  <c r="M4" i="7"/>
  <c r="O7" i="7"/>
  <c r="Q3" i="7"/>
  <c r="P7" i="7"/>
  <c r="N7" i="7"/>
  <c r="Q6" i="7"/>
  <c r="Q4" i="7"/>
  <c r="Q5" i="7"/>
  <c r="G7" i="12"/>
  <c r="G8" i="17" l="1"/>
  <c r="M15" i="3"/>
  <c r="F9" i="17"/>
  <c r="A9" i="17"/>
  <c r="M15" i="14"/>
  <c r="A10" i="12" s="1"/>
  <c r="P15" i="14"/>
  <c r="F10" i="12" s="1"/>
  <c r="G8" i="12"/>
  <c r="G9" i="17" l="1"/>
  <c r="M16" i="3"/>
  <c r="A10" i="17"/>
  <c r="F10" i="17"/>
  <c r="M16" i="14"/>
  <c r="A11" i="12" s="1"/>
  <c r="P16" i="14"/>
  <c r="F11" i="12" s="1"/>
  <c r="G9" i="12"/>
  <c r="P3" i="16" l="1"/>
  <c r="H3" i="16" s="1"/>
  <c r="P6" i="16"/>
  <c r="H6" i="16" s="1"/>
  <c r="P5" i="16"/>
  <c r="H5" i="16" s="1"/>
  <c r="P8" i="16"/>
  <c r="H8" i="16" s="1"/>
  <c r="P7" i="16"/>
  <c r="H7" i="16" s="1"/>
  <c r="P4" i="16"/>
  <c r="H4" i="16" s="1"/>
  <c r="O3" i="16"/>
  <c r="G3" i="16" s="1"/>
  <c r="O5" i="16"/>
  <c r="O7" i="16"/>
  <c r="O4" i="16"/>
  <c r="O8" i="16"/>
  <c r="O6" i="16"/>
  <c r="N3" i="16"/>
  <c r="F3" i="16" s="1"/>
  <c r="N6" i="16"/>
  <c r="F6" i="16" s="1"/>
  <c r="N4" i="16"/>
  <c r="F4" i="16" s="1"/>
  <c r="N7" i="16"/>
  <c r="F7" i="16" s="1"/>
  <c r="N8" i="16"/>
  <c r="F8" i="16" s="1"/>
  <c r="N5" i="16"/>
  <c r="F5" i="16" s="1"/>
  <c r="M3" i="16"/>
  <c r="E3" i="16" s="1"/>
  <c r="M6" i="16"/>
  <c r="E6" i="16" s="1"/>
  <c r="M7" i="16"/>
  <c r="E7" i="16" s="1"/>
  <c r="M5" i="16"/>
  <c r="E5" i="16" s="1"/>
  <c r="M4" i="16"/>
  <c r="E4" i="16" s="1"/>
  <c r="M8" i="16"/>
  <c r="E8" i="16" s="1"/>
  <c r="L3" i="16"/>
  <c r="L5" i="16"/>
  <c r="L7" i="16"/>
  <c r="L8" i="16"/>
  <c r="L4" i="16"/>
  <c r="L6" i="16"/>
  <c r="G10" i="17"/>
  <c r="F11" i="17"/>
  <c r="A11" i="17"/>
  <c r="M17" i="14"/>
  <c r="A12" i="12" s="1"/>
  <c r="P17" i="14"/>
  <c r="F12" i="12" s="1"/>
  <c r="G10" i="12"/>
  <c r="AG8" i="16" l="1"/>
  <c r="AG6" i="16"/>
  <c r="AG4" i="16"/>
  <c r="AG5" i="16"/>
  <c r="R3" i="16"/>
  <c r="J3" i="16" s="1"/>
  <c r="J2" i="17" s="1"/>
  <c r="AG3" i="16"/>
  <c r="AG7" i="16"/>
  <c r="Q3" i="16"/>
  <c r="I3" i="16" s="1"/>
  <c r="Q6" i="16"/>
  <c r="I6" i="16" s="1"/>
  <c r="G6" i="16"/>
  <c r="G8" i="16"/>
  <c r="Q8" i="16"/>
  <c r="I8" i="16" s="1"/>
  <c r="Q4" i="16"/>
  <c r="I4" i="16" s="1"/>
  <c r="G4" i="16"/>
  <c r="G7" i="16"/>
  <c r="Q7" i="16"/>
  <c r="I7" i="16" s="1"/>
  <c r="Q5" i="16"/>
  <c r="I5" i="16" s="1"/>
  <c r="G5" i="16"/>
  <c r="D3" i="16"/>
  <c r="C3" i="16" s="1"/>
  <c r="K3" i="16"/>
  <c r="D6" i="16"/>
  <c r="C6" i="16" s="1"/>
  <c r="K6" i="16"/>
  <c r="R6" i="16"/>
  <c r="J6" i="16" s="1"/>
  <c r="J5" i="17" s="1"/>
  <c r="K4" i="16"/>
  <c r="R4" i="16"/>
  <c r="J4" i="16" s="1"/>
  <c r="J3" i="17" s="1"/>
  <c r="D4" i="16"/>
  <c r="C4" i="16" s="1"/>
  <c r="K8" i="16"/>
  <c r="R8" i="16"/>
  <c r="J8" i="16" s="1"/>
  <c r="J7" i="17" s="1"/>
  <c r="D8" i="16"/>
  <c r="C8" i="16" s="1"/>
  <c r="D7" i="16"/>
  <c r="C7" i="16" s="1"/>
  <c r="K7" i="16"/>
  <c r="R7" i="16"/>
  <c r="J7" i="16" s="1"/>
  <c r="J6" i="17" s="1"/>
  <c r="R5" i="16"/>
  <c r="J5" i="16" s="1"/>
  <c r="J4" i="17" s="1"/>
  <c r="D5" i="16"/>
  <c r="C5" i="16" s="1"/>
  <c r="K5" i="16"/>
  <c r="G11" i="17"/>
  <c r="M18" i="14"/>
  <c r="A13" i="12" s="1"/>
  <c r="P18" i="14"/>
  <c r="F13" i="12" s="1"/>
  <c r="G11" i="12"/>
  <c r="Q4" i="17" l="1"/>
  <c r="AD4" i="16"/>
  <c r="AE8" i="16"/>
  <c r="AE6" i="16"/>
  <c r="AD8" i="16"/>
  <c r="AE7" i="16"/>
  <c r="AE5" i="16"/>
  <c r="AD6" i="16"/>
  <c r="AD3" i="16"/>
  <c r="AE3" i="16"/>
  <c r="AD5" i="16"/>
  <c r="AE4" i="16"/>
  <c r="AD7" i="16"/>
  <c r="AB5" i="16"/>
  <c r="AB6" i="16"/>
  <c r="AB3" i="16"/>
  <c r="AB7" i="16"/>
  <c r="AF6" i="16"/>
  <c r="AB8" i="16"/>
  <c r="AF3" i="16"/>
  <c r="AF5" i="16"/>
  <c r="AB4" i="16"/>
  <c r="AF4" i="16"/>
  <c r="AF7" i="16"/>
  <c r="AF8" i="16"/>
  <c r="AH3" i="16"/>
  <c r="AH8" i="16"/>
  <c r="AH6" i="16"/>
  <c r="AH5" i="16"/>
  <c r="AH7" i="16"/>
  <c r="AH4" i="16"/>
  <c r="P4" i="17"/>
  <c r="O7" i="17"/>
  <c r="M7" i="17"/>
  <c r="M5" i="17"/>
  <c r="N7" i="17"/>
  <c r="P3" i="17"/>
  <c r="N5" i="17"/>
  <c r="Q5" i="17"/>
  <c r="O3" i="17"/>
  <c r="M4" i="17"/>
  <c r="P7" i="17"/>
  <c r="P5" i="17"/>
  <c r="O4" i="17"/>
  <c r="Q3" i="17"/>
  <c r="M6" i="17"/>
  <c r="Q6" i="17"/>
  <c r="N3" i="17"/>
  <c r="N6" i="17"/>
  <c r="O6" i="17"/>
  <c r="M19" i="14"/>
  <c r="A14" i="12" s="1"/>
  <c r="P19" i="14"/>
  <c r="F14" i="12" s="1"/>
  <c r="G12" i="12"/>
  <c r="M20" i="14" l="1"/>
  <c r="A15" i="12" s="1"/>
  <c r="P20" i="14"/>
  <c r="F15" i="12" s="1"/>
  <c r="G13" i="12"/>
  <c r="M21" i="14" l="1"/>
  <c r="P21" i="14"/>
  <c r="G14" i="12"/>
  <c r="X7" i="13" l="1"/>
  <c r="X4" i="13"/>
  <c r="X5" i="13"/>
  <c r="X6" i="13"/>
  <c r="X8" i="13"/>
  <c r="W7" i="13"/>
  <c r="W4" i="13"/>
  <c r="W6" i="13"/>
  <c r="W8" i="13"/>
  <c r="W5" i="13"/>
  <c r="V7" i="13"/>
  <c r="V4" i="13"/>
  <c r="V5" i="13"/>
  <c r="V6" i="13"/>
  <c r="V8" i="13"/>
  <c r="U6" i="13"/>
  <c r="U7" i="13"/>
  <c r="U8" i="13"/>
  <c r="U4" i="13"/>
  <c r="U5" i="13"/>
  <c r="T8" i="13"/>
  <c r="T4" i="13"/>
  <c r="T5" i="13"/>
  <c r="T6" i="13"/>
  <c r="T7" i="13"/>
  <c r="W3" i="13"/>
  <c r="X3" i="13"/>
  <c r="U3" i="13"/>
  <c r="V3" i="13"/>
  <c r="F16" i="12"/>
  <c r="T3" i="13"/>
  <c r="P3" i="13"/>
  <c r="P5" i="13"/>
  <c r="P8" i="13"/>
  <c r="P6" i="13"/>
  <c r="P7" i="13"/>
  <c r="P4" i="13"/>
  <c r="O3" i="13"/>
  <c r="O4" i="13"/>
  <c r="O8" i="13"/>
  <c r="O5" i="13"/>
  <c r="O6" i="13"/>
  <c r="O7" i="13"/>
  <c r="N3" i="13"/>
  <c r="N7" i="13"/>
  <c r="N8" i="13"/>
  <c r="N4" i="13"/>
  <c r="N5" i="13"/>
  <c r="N6" i="13"/>
  <c r="M3" i="13"/>
  <c r="M4" i="13"/>
  <c r="E4" i="13" s="1"/>
  <c r="M5" i="13"/>
  <c r="M6" i="13"/>
  <c r="M7" i="13"/>
  <c r="M8" i="13"/>
  <c r="L4" i="13"/>
  <c r="L5" i="13"/>
  <c r="L6" i="13"/>
  <c r="L7" i="13"/>
  <c r="L8" i="13"/>
  <c r="A16" i="12"/>
  <c r="L3" i="13"/>
  <c r="G15" i="12"/>
  <c r="E8" i="13" l="1"/>
  <c r="E5" i="13"/>
  <c r="H4" i="13"/>
  <c r="H7" i="13"/>
  <c r="F4" i="13"/>
  <c r="H6" i="13"/>
  <c r="F7" i="13"/>
  <c r="H5" i="13"/>
  <c r="Y6" i="13"/>
  <c r="Y4" i="13"/>
  <c r="F5" i="13"/>
  <c r="E7" i="13"/>
  <c r="Y7" i="13"/>
  <c r="F8" i="13"/>
  <c r="E6" i="13"/>
  <c r="E3" i="13"/>
  <c r="H8" i="13"/>
  <c r="F6" i="13"/>
  <c r="Y8" i="13"/>
  <c r="Y5" i="13"/>
  <c r="S7" i="13"/>
  <c r="Z7" i="13"/>
  <c r="S6" i="13"/>
  <c r="Z6" i="13"/>
  <c r="Z5" i="13"/>
  <c r="S5" i="13"/>
  <c r="S4" i="13"/>
  <c r="Z4" i="13"/>
  <c r="S8" i="13"/>
  <c r="Z8" i="13"/>
  <c r="H3" i="13"/>
  <c r="Y3" i="13"/>
  <c r="F3" i="13"/>
  <c r="Q3" i="13"/>
  <c r="Z3" i="13"/>
  <c r="S3" i="13"/>
  <c r="G3" i="13"/>
  <c r="Q7" i="13"/>
  <c r="G7" i="13"/>
  <c r="G6" i="13"/>
  <c r="Q6" i="13"/>
  <c r="G5" i="13"/>
  <c r="Q5" i="13"/>
  <c r="G8" i="13"/>
  <c r="Q8" i="13"/>
  <c r="G4" i="13"/>
  <c r="Q4" i="13"/>
  <c r="K8" i="13"/>
  <c r="R8" i="13"/>
  <c r="D8" i="13"/>
  <c r="D7" i="13"/>
  <c r="K7" i="13"/>
  <c r="R7" i="13"/>
  <c r="D6" i="13"/>
  <c r="K6" i="13"/>
  <c r="R6" i="13"/>
  <c r="R5" i="13"/>
  <c r="D5" i="13"/>
  <c r="K5" i="13"/>
  <c r="R4" i="13"/>
  <c r="K4" i="13"/>
  <c r="D4" i="13"/>
  <c r="K3" i="13"/>
  <c r="R3" i="13"/>
  <c r="D3" i="13"/>
  <c r="G16" i="12"/>
  <c r="K3" i="6"/>
  <c r="D3" i="6"/>
  <c r="R3" i="6"/>
  <c r="J3" i="6" s="1"/>
  <c r="I6" i="13" l="1"/>
  <c r="C4" i="13"/>
  <c r="J6" i="13"/>
  <c r="J5" i="12" s="1"/>
  <c r="N2" i="17"/>
  <c r="P2" i="17"/>
  <c r="Q2" i="17"/>
  <c r="O2" i="17"/>
  <c r="M2" i="17"/>
  <c r="K2" i="17"/>
  <c r="L7" i="17"/>
  <c r="R7" i="17" s="1"/>
  <c r="K7" i="17"/>
  <c r="L5" i="17"/>
  <c r="R5" i="17" s="1"/>
  <c r="L4" i="17"/>
  <c r="R4" i="17" s="1"/>
  <c r="K3" i="17"/>
  <c r="K5" i="17"/>
  <c r="K4" i="17"/>
  <c r="K6" i="17"/>
  <c r="L6" i="17"/>
  <c r="R6" i="17" s="1"/>
  <c r="L3" i="17"/>
  <c r="R3" i="17" s="1"/>
  <c r="C5" i="13"/>
  <c r="C7" i="13"/>
  <c r="AG7" i="13"/>
  <c r="I4" i="13"/>
  <c r="AG5" i="13"/>
  <c r="C8" i="13"/>
  <c r="C6" i="13"/>
  <c r="I5" i="13"/>
  <c r="I7" i="13"/>
  <c r="AG4" i="13"/>
  <c r="I8" i="13"/>
  <c r="J8" i="13"/>
  <c r="J7" i="12" s="1"/>
  <c r="Q5" i="12" s="1"/>
  <c r="J7" i="13"/>
  <c r="J6" i="12" s="1"/>
  <c r="I3" i="13"/>
  <c r="AG3" i="13"/>
  <c r="J5" i="13"/>
  <c r="J4" i="12" s="1"/>
  <c r="AG8" i="13"/>
  <c r="J4" i="13"/>
  <c r="J3" i="12" s="1"/>
  <c r="O3" i="12" s="1"/>
  <c r="AG6" i="13"/>
  <c r="AE3" i="13"/>
  <c r="J3" i="13"/>
  <c r="J2" i="12" s="1"/>
  <c r="AE6" i="13"/>
  <c r="AE7" i="13"/>
  <c r="AE4" i="13"/>
  <c r="AE5" i="13"/>
  <c r="AE8" i="13"/>
  <c r="AF3" i="13"/>
  <c r="AF8" i="13"/>
  <c r="AF6" i="13"/>
  <c r="AF5" i="13"/>
  <c r="C3" i="13"/>
  <c r="AF7" i="13"/>
  <c r="AF4" i="13"/>
  <c r="AF8" i="6"/>
  <c r="AF3" i="6"/>
  <c r="J2" i="7"/>
  <c r="AB8" i="6"/>
  <c r="AB3" i="6"/>
  <c r="AB7" i="6"/>
  <c r="AB4" i="6"/>
  <c r="AB5" i="6"/>
  <c r="AB6" i="6"/>
  <c r="AF6" i="6"/>
  <c r="AF4" i="6"/>
  <c r="C3" i="6"/>
  <c r="AF5" i="6"/>
  <c r="AF7" i="6"/>
  <c r="M2" i="12" l="1"/>
  <c r="Q6" i="12"/>
  <c r="O7" i="12"/>
  <c r="M7" i="12"/>
  <c r="M6" i="12"/>
  <c r="N7" i="12"/>
  <c r="P7" i="12"/>
  <c r="O6" i="12"/>
  <c r="P3" i="12"/>
  <c r="N3" i="12"/>
  <c r="P5" i="12"/>
  <c r="Q3" i="12"/>
  <c r="P4" i="12"/>
  <c r="M5" i="12"/>
  <c r="O4" i="12"/>
  <c r="M4" i="12"/>
  <c r="Q4" i="12"/>
  <c r="N5" i="12"/>
  <c r="N6" i="12"/>
  <c r="R2" i="17"/>
  <c r="AC10" i="16" s="1"/>
  <c r="AD4" i="13"/>
  <c r="AD8" i="13"/>
  <c r="AD6" i="13"/>
  <c r="AD7" i="13"/>
  <c r="AD3" i="13"/>
  <c r="AD5" i="13"/>
  <c r="AB8" i="13"/>
  <c r="AB6" i="13"/>
  <c r="AB5" i="13"/>
  <c r="AB7" i="13"/>
  <c r="AB3" i="13"/>
  <c r="AB4" i="13"/>
  <c r="AH3" i="13"/>
  <c r="AH4" i="13"/>
  <c r="AH5" i="13"/>
  <c r="AH6" i="13"/>
  <c r="AH7" i="13"/>
  <c r="AH8" i="13"/>
  <c r="N2" i="7"/>
  <c r="K2" i="7"/>
  <c r="L6" i="7"/>
  <c r="R6" i="7" s="1"/>
  <c r="L5" i="7"/>
  <c r="R5" i="7" s="1"/>
  <c r="K7" i="7"/>
  <c r="Q2" i="7"/>
  <c r="K3" i="7"/>
  <c r="L4" i="7"/>
  <c r="R4" i="7" s="1"/>
  <c r="O2" i="7"/>
  <c r="K6" i="7"/>
  <c r="K4" i="7"/>
  <c r="L7" i="7"/>
  <c r="R7" i="7" s="1"/>
  <c r="M2" i="7"/>
  <c r="P2" i="7"/>
  <c r="K5" i="7"/>
  <c r="L3" i="7"/>
  <c r="R3" i="7" s="1"/>
  <c r="AH5" i="6"/>
  <c r="AH6" i="6"/>
  <c r="AH8" i="6"/>
  <c r="AH3" i="6"/>
  <c r="AH7" i="6"/>
  <c r="AH4" i="6"/>
  <c r="K2" i="12"/>
  <c r="K6" i="12"/>
  <c r="L4" i="12"/>
  <c r="K3" i="12"/>
  <c r="Q2" i="12"/>
  <c r="K5" i="12"/>
  <c r="O2" i="12"/>
  <c r="L7" i="12"/>
  <c r="K7" i="12"/>
  <c r="L5" i="12"/>
  <c r="P2" i="12"/>
  <c r="L3" i="12"/>
  <c r="K4" i="12"/>
  <c r="L6" i="12"/>
  <c r="N2" i="12"/>
  <c r="R7" i="12" l="1"/>
  <c r="R3" i="12"/>
  <c r="R6" i="12"/>
  <c r="R4" i="12"/>
  <c r="R5" i="12"/>
  <c r="AC14" i="16"/>
  <c r="AC11" i="16"/>
  <c r="AC13" i="16"/>
  <c r="AC12" i="16"/>
  <c r="AC15" i="16"/>
  <c r="R2" i="7"/>
  <c r="AC15" i="6" s="1"/>
  <c r="R2" i="12"/>
  <c r="AC10" i="13" s="1"/>
  <c r="AC11" i="6" l="1"/>
  <c r="AC13" i="13"/>
  <c r="AC15" i="13"/>
  <c r="AC12" i="13"/>
  <c r="AC14" i="13"/>
  <c r="AC11" i="13"/>
  <c r="AC12" i="6"/>
  <c r="AC13" i="6"/>
  <c r="AC14" i="6"/>
  <c r="AC8" i="16"/>
  <c r="B8" i="16" s="1"/>
  <c r="AC7" i="16"/>
  <c r="B7" i="16" s="1"/>
  <c r="AC6" i="16"/>
  <c r="B6" i="16" s="1"/>
  <c r="AC3" i="16"/>
  <c r="B3" i="16" s="1"/>
  <c r="AC4" i="16"/>
  <c r="B4" i="16" s="1"/>
  <c r="AC5" i="16"/>
  <c r="B5" i="16" s="1"/>
  <c r="AC10" i="6"/>
  <c r="AC5" i="13" l="1"/>
  <c r="B5" i="13" s="1"/>
  <c r="AC4" i="6"/>
  <c r="B4" i="6" s="1"/>
  <c r="A7" i="3"/>
  <c r="A9" i="3"/>
  <c r="A11" i="3"/>
  <c r="A10" i="3"/>
  <c r="A8" i="3"/>
  <c r="B9" i="3"/>
  <c r="B10" i="3"/>
  <c r="B11" i="3"/>
  <c r="B8" i="3"/>
  <c r="B7" i="3"/>
  <c r="AC3" i="6"/>
  <c r="B3" i="6" s="1"/>
  <c r="AC5" i="6"/>
  <c r="B5" i="6" s="1"/>
  <c r="AC4" i="13"/>
  <c r="B4" i="13" s="1"/>
  <c r="AC3" i="13"/>
  <c r="B3" i="13" s="1"/>
  <c r="AC7" i="13"/>
  <c r="B7" i="13" s="1"/>
  <c r="AC6" i="6"/>
  <c r="B6" i="6" s="1"/>
  <c r="AC7" i="6"/>
  <c r="B7" i="6" s="1"/>
  <c r="AC8" i="13"/>
  <c r="B8" i="13" s="1"/>
  <c r="AC8" i="6"/>
  <c r="B8" i="6" s="1"/>
  <c r="AC6" i="13"/>
  <c r="B6" i="13" s="1"/>
  <c r="B7" i="14" l="1"/>
  <c r="B9" i="4"/>
  <c r="A7" i="4"/>
  <c r="A10" i="14"/>
  <c r="A11" i="14"/>
  <c r="A9" i="14"/>
  <c r="A8" i="14"/>
  <c r="A7" i="14"/>
  <c r="B10" i="14"/>
  <c r="B11" i="14"/>
  <c r="B8" i="14"/>
  <c r="C13" i="25" s="1"/>
  <c r="B9" i="14"/>
  <c r="C9" i="25" s="1"/>
  <c r="B10" i="4"/>
  <c r="C21" i="18" s="1"/>
  <c r="A9" i="4"/>
  <c r="A8" i="4"/>
  <c r="B7" i="4"/>
  <c r="M7" i="25" s="1"/>
  <c r="A10" i="4"/>
  <c r="B8" i="4"/>
  <c r="B11" i="4"/>
  <c r="C35" i="18" s="1"/>
  <c r="B12" i="4"/>
  <c r="C51" i="18" s="1"/>
  <c r="A11" i="4"/>
  <c r="A12" i="4"/>
  <c r="C37" i="24" l="1"/>
  <c r="C49" i="24" s="1"/>
  <c r="C37" i="18"/>
  <c r="C24" i="25"/>
  <c r="C9" i="18"/>
  <c r="C22" i="25"/>
  <c r="W26" i="25"/>
  <c r="C35" i="24"/>
  <c r="C23" i="22"/>
  <c r="C15" i="25"/>
  <c r="C9" i="24"/>
  <c r="C24" i="21"/>
  <c r="M24" i="22"/>
  <c r="C22" i="21"/>
  <c r="C7" i="25"/>
  <c r="C15" i="22"/>
  <c r="C26" i="23"/>
  <c r="C25" i="22"/>
  <c r="C24" i="23"/>
  <c r="M13" i="25"/>
  <c r="C13" i="22"/>
  <c r="C10" i="14"/>
  <c r="C27" i="24"/>
  <c r="M7" i="21"/>
  <c r="C7" i="24"/>
  <c r="C15" i="21"/>
  <c r="C15" i="24"/>
  <c r="C21" i="24"/>
  <c r="C7" i="21"/>
  <c r="C25" i="24"/>
  <c r="C13" i="21"/>
  <c r="C13" i="24"/>
  <c r="M13" i="21"/>
  <c r="C19" i="24"/>
  <c r="C27" i="18"/>
  <c r="C9" i="21"/>
  <c r="C15" i="18"/>
  <c r="C9" i="22"/>
  <c r="C15" i="23"/>
  <c r="C13" i="23"/>
  <c r="C7" i="23"/>
  <c r="C7" i="22"/>
  <c r="C13" i="18"/>
  <c r="C9" i="23"/>
  <c r="C7" i="18"/>
  <c r="C19" i="18"/>
  <c r="C25" i="18"/>
  <c r="I7" i="3"/>
  <c r="J7" i="3"/>
  <c r="G7" i="3"/>
  <c r="H7" i="3"/>
  <c r="E7" i="3"/>
  <c r="F7" i="3"/>
  <c r="C7" i="3"/>
  <c r="D7" i="3"/>
  <c r="I11" i="3"/>
  <c r="J11" i="3"/>
  <c r="I10" i="3"/>
  <c r="J10" i="3"/>
  <c r="I9" i="3"/>
  <c r="J9" i="3"/>
  <c r="G11" i="3"/>
  <c r="H11" i="3"/>
  <c r="G10" i="3"/>
  <c r="H10" i="3"/>
  <c r="G9" i="3"/>
  <c r="H9" i="3"/>
  <c r="E11" i="3"/>
  <c r="F11" i="3"/>
  <c r="E10" i="3"/>
  <c r="F10" i="3"/>
  <c r="E9" i="3"/>
  <c r="F9" i="3"/>
  <c r="C11" i="3"/>
  <c r="D11" i="3"/>
  <c r="C10" i="3"/>
  <c r="D10" i="3"/>
  <c r="C9" i="3"/>
  <c r="D9" i="3"/>
  <c r="I8" i="3"/>
  <c r="J8" i="3"/>
  <c r="G8" i="3"/>
  <c r="H8" i="3"/>
  <c r="E8" i="3"/>
  <c r="F8" i="3"/>
  <c r="C8" i="3"/>
  <c r="D8" i="3"/>
  <c r="C7" i="4"/>
  <c r="J8" i="14"/>
  <c r="J11" i="14"/>
  <c r="J10" i="14"/>
  <c r="J9" i="14"/>
  <c r="I7" i="14"/>
  <c r="J7" i="14"/>
  <c r="I11" i="14"/>
  <c r="I9" i="14"/>
  <c r="I10" i="14"/>
  <c r="H8" i="14"/>
  <c r="I8" i="14"/>
  <c r="H11" i="14"/>
  <c r="H10" i="14"/>
  <c r="H9" i="14"/>
  <c r="G7" i="14"/>
  <c r="H7" i="14"/>
  <c r="G11" i="14"/>
  <c r="G10" i="14"/>
  <c r="G9" i="14"/>
  <c r="F8" i="14"/>
  <c r="G8" i="14"/>
  <c r="F11" i="14"/>
  <c r="F9" i="14"/>
  <c r="F10" i="14"/>
  <c r="E7" i="14"/>
  <c r="F7" i="14"/>
  <c r="E8" i="14"/>
  <c r="E11" i="14"/>
  <c r="E9" i="14"/>
  <c r="E10" i="14"/>
  <c r="D11" i="14"/>
  <c r="D9" i="14"/>
  <c r="D10" i="14"/>
  <c r="C8" i="14"/>
  <c r="D8" i="14"/>
  <c r="C7" i="14"/>
  <c r="D7" i="14"/>
  <c r="C11" i="14"/>
  <c r="C9" i="14"/>
  <c r="D12" i="4"/>
  <c r="D11" i="4"/>
  <c r="I10" i="4"/>
  <c r="F10" i="4"/>
  <c r="D10" i="4"/>
  <c r="C10" i="4"/>
  <c r="E10" i="4"/>
  <c r="F9" i="4"/>
  <c r="C9" i="4"/>
  <c r="I8" i="4"/>
  <c r="H10" i="4"/>
  <c r="G10" i="4"/>
  <c r="D8" i="4"/>
  <c r="J10" i="4"/>
  <c r="C11" i="4"/>
  <c r="J12" i="4"/>
  <c r="G7" i="4"/>
  <c r="E11" i="4"/>
  <c r="D7" i="4"/>
  <c r="E9" i="4"/>
  <c r="F11" i="4"/>
  <c r="E8" i="4"/>
  <c r="H9" i="4"/>
  <c r="C12" i="4"/>
  <c r="F7" i="4"/>
  <c r="H8" i="4"/>
  <c r="G9" i="4"/>
  <c r="F12" i="4"/>
  <c r="E7" i="4"/>
  <c r="G8" i="4"/>
  <c r="J9" i="4"/>
  <c r="E12" i="4"/>
  <c r="I9" i="4"/>
  <c r="I7" i="4"/>
  <c r="H7" i="4"/>
  <c r="J8" i="4"/>
  <c r="H12" i="4"/>
  <c r="D9" i="4"/>
  <c r="G12" i="4"/>
  <c r="C8" i="4"/>
  <c r="F8" i="4"/>
  <c r="J11" i="4"/>
  <c r="G11" i="4"/>
  <c r="I11" i="4"/>
  <c r="H11" i="4"/>
  <c r="I12" i="4"/>
  <c r="J7" i="4"/>
  <c r="W24" i="25" l="1"/>
  <c r="C48" i="24"/>
  <c r="M23" i="23"/>
  <c r="C49" i="18"/>
  <c r="C50" i="18"/>
  <c r="W25" i="25"/>
  <c r="W24" i="21"/>
  <c r="W25" i="21"/>
  <c r="M22" i="22"/>
  <c r="M23" i="22"/>
  <c r="M24" i="23"/>
  <c r="M20" i="23"/>
  <c r="M19" i="23"/>
  <c r="C42" i="18" l="1"/>
  <c r="C41" i="18"/>
  <c r="C42" i="24"/>
  <c r="C43" i="24"/>
  <c r="C47" i="24"/>
  <c r="W22" i="25"/>
  <c r="W23" i="25"/>
  <c r="W20" i="25"/>
  <c r="W21" i="25"/>
  <c r="W19" i="25"/>
  <c r="W18" i="25"/>
  <c r="W19" i="21"/>
  <c r="W22" i="21"/>
  <c r="W23" i="21"/>
  <c r="W20" i="21"/>
  <c r="W21" i="21"/>
  <c r="M20" i="22"/>
  <c r="M21" i="22"/>
  <c r="M18" i="22"/>
  <c r="M19" i="22"/>
  <c r="M21" i="23"/>
  <c r="M22" i="23"/>
  <c r="C40" i="24" l="1"/>
  <c r="C47" i="18"/>
  <c r="C48" i="18"/>
  <c r="C45" i="18"/>
  <c r="C46" i="18"/>
  <c r="C43" i="18"/>
  <c r="C44" i="18"/>
  <c r="C41" i="24"/>
  <c r="C46" i="24"/>
  <c r="C44" i="24"/>
  <c r="C45" i="24"/>
  <c r="W18" i="21"/>
</calcChain>
</file>

<file path=xl/sharedStrings.xml><?xml version="1.0" encoding="utf-8"?>
<sst xmlns="http://schemas.openxmlformats.org/spreadsheetml/2006/main" count="647" uniqueCount="108">
  <si>
    <t>Informacije</t>
  </si>
  <si>
    <t>&gt; Ime turnira</t>
  </si>
  <si>
    <t>Ø</t>
  </si>
  <si>
    <t>&gt; Datum turnira</t>
  </si>
  <si>
    <t>Grupna faza</t>
  </si>
  <si>
    <t>&gt; Broj timova (5-11)</t>
  </si>
  <si>
    <t>&gt; Ime grupa</t>
  </si>
  <si>
    <t>&gt; Broj timova po grupama</t>
  </si>
  <si>
    <t>&gt; Polazak u knock out fazu</t>
  </si>
  <si>
    <t>­ Home Draw</t>
  </si>
  <si>
    <t>­ Away Win</t>
  </si>
  <si>
    <t>­ Away Draw</t>
  </si>
  <si>
    <t>­ Away Lose</t>
  </si>
  <si>
    <t>­ Home Win</t>
  </si>
  <si>
    <t>­ Home Lose</t>
  </si>
  <si>
    <t>&gt; Mesto Turnira</t>
  </si>
  <si>
    <t>&gt; Liga</t>
  </si>
  <si>
    <t>&gt; Grupe</t>
  </si>
  <si>
    <t>&gt; Home/Away</t>
  </si>
  <si>
    <t>Sistem bodovanja</t>
  </si>
  <si>
    <t>Pozicija na tabeli</t>
  </si>
  <si>
    <t>&gt;1 Broj bodova</t>
  </si>
  <si>
    <t>&gt;2 Medjusoban susret</t>
  </si>
  <si>
    <t>&gt;3 Gol razlika</t>
  </si>
  <si>
    <t>&gt;4 Broj postignutih golova</t>
  </si>
  <si>
    <t>Pozicija</t>
  </si>
  <si>
    <t>Ime</t>
  </si>
  <si>
    <t>P</t>
  </si>
  <si>
    <t>W</t>
  </si>
  <si>
    <t>D</t>
  </si>
  <si>
    <t>L</t>
  </si>
  <si>
    <t>GF</t>
  </si>
  <si>
    <t>GA</t>
  </si>
  <si>
    <t>GD</t>
  </si>
  <si>
    <t>Pts</t>
  </si>
  <si>
    <t>Tabela</t>
  </si>
  <si>
    <t>#M</t>
  </si>
  <si>
    <t>Domacin</t>
  </si>
  <si>
    <t>Rezultat</t>
  </si>
  <si>
    <t>Gost</t>
  </si>
  <si>
    <t>Majstorica</t>
  </si>
  <si>
    <t>Regularni deo</t>
  </si>
  <si>
    <t>Produzeci</t>
  </si>
  <si>
    <t>Penali</t>
  </si>
  <si>
    <t>&gt;5 Broj pobeda</t>
  </si>
  <si>
    <t>&gt;6 Broj primljenih golova</t>
  </si>
  <si>
    <t>&gt;7 Majstorica</t>
  </si>
  <si>
    <t>Tim</t>
  </si>
  <si>
    <t>Ukupno</t>
  </si>
  <si>
    <t>Pts Ranking</t>
  </si>
  <si>
    <t>H2H</t>
  </si>
  <si>
    <t>GD ranking</t>
  </si>
  <si>
    <t>GF ranking</t>
  </si>
  <si>
    <t>W ranking</t>
  </si>
  <si>
    <t>GA ranking</t>
  </si>
  <si>
    <t>P ranking</t>
  </si>
  <si>
    <t>W,L,D</t>
  </si>
  <si>
    <t>pts</t>
  </si>
  <si>
    <t>Total</t>
  </si>
  <si>
    <t>H2H data</t>
  </si>
  <si>
    <t>FT</t>
  </si>
  <si>
    <t>ET</t>
  </si>
  <si>
    <t>PK</t>
  </si>
  <si>
    <t>C</t>
  </si>
  <si>
    <t>E</t>
  </si>
  <si>
    <t>F</t>
  </si>
  <si>
    <t>G</t>
  </si>
  <si>
    <t>H</t>
  </si>
  <si>
    <t>A1</t>
  </si>
  <si>
    <t>B1</t>
  </si>
  <si>
    <t>B4</t>
  </si>
  <si>
    <t>B2</t>
  </si>
  <si>
    <t>A3</t>
  </si>
  <si>
    <t>A4</t>
  </si>
  <si>
    <t>A2</t>
  </si>
  <si>
    <t>B3</t>
  </si>
  <si>
    <t>CW</t>
  </si>
  <si>
    <t>DW</t>
  </si>
  <si>
    <t>EW</t>
  </si>
  <si>
    <t>FW</t>
  </si>
  <si>
    <t>GL</t>
  </si>
  <si>
    <t>HL</t>
  </si>
  <si>
    <t>GW</t>
  </si>
  <si>
    <t>HW</t>
  </si>
  <si>
    <t>NT</t>
  </si>
  <si>
    <t>CL</t>
  </si>
  <si>
    <t>DL</t>
  </si>
  <si>
    <t>EL</t>
  </si>
  <si>
    <t>FL</t>
  </si>
  <si>
    <t>DA</t>
  </si>
  <si>
    <t>I</t>
  </si>
  <si>
    <t>II</t>
  </si>
  <si>
    <t>III</t>
  </si>
  <si>
    <t>IV</t>
  </si>
  <si>
    <t>V</t>
  </si>
  <si>
    <t>VI</t>
  </si>
  <si>
    <t>VII</t>
  </si>
  <si>
    <t>VIII</t>
  </si>
  <si>
    <t>IX</t>
  </si>
  <si>
    <t>A5</t>
  </si>
  <si>
    <t>B5</t>
  </si>
  <si>
    <t>J</t>
  </si>
  <si>
    <t>IL</t>
  </si>
  <si>
    <t>JL</t>
  </si>
  <si>
    <t>IW</t>
  </si>
  <si>
    <t>JW</t>
  </si>
  <si>
    <t>X</t>
  </si>
  <si>
    <t>XI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</si>
</sst>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22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1"/>
      <name val="Wingdings"/>
      <charset val="2"/>
    </font>
    <font>
      <sz val="10"/>
      <color rgb="FF000000"/>
      <name val="Arial"/>
      <family val="2"/>
    </font>
    <font>
      <b/>
      <sz val="11"/>
      <color theme="8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6" tint="0.3999755851924192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8"/>
      <color theme="3"/>
      <name val="Cambria"/>
      <family val="2"/>
      <scheme val="major"/>
    </font>
    <font>
      <b/>
      <sz val="18"/>
      <color theme="1"/>
      <name val="Cambria"/>
      <family val="2"/>
      <scheme val="major"/>
    </font>
    <font>
      <sz val="11"/>
      <color theme="1"/>
      <name val="Calibri"/>
      <family val="2"/>
      <scheme val="minor"/>
    </font>
    <font>
      <sz val="10"/>
      <name val="Arial"/>
      <family val="2"/>
      <charset val="238"/>
    </font>
    <font>
      <sz val="8"/>
      <name val="Tahoma"/>
      <family val="2"/>
    </font>
    <font>
      <sz val="11"/>
      <name val="Calibri"/>
      <family val="2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CD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0000CD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 diagonalDown="1">
      <left/>
      <right/>
      <top/>
      <bottom/>
      <diagonal style="thin">
        <color auto="1"/>
      </diagonal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3" fillId="0" borderId="0"/>
  </cellStyleXfs>
  <cellXfs count="156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Border="1"/>
    <xf numFmtId="0" fontId="2" fillId="0" borderId="0" xfId="0" applyFont="1" applyFill="1" applyBorder="1" applyAlignment="1">
      <alignment horizontal="center" vertical="center"/>
    </xf>
    <xf numFmtId="0" fontId="2" fillId="0" borderId="0" xfId="0" applyFont="1"/>
    <xf numFmtId="0" fontId="0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left"/>
    </xf>
    <xf numFmtId="0" fontId="2" fillId="0" borderId="2" xfId="0" applyFont="1" applyBorder="1" applyAlignment="1">
      <alignment horizontal="center"/>
    </xf>
    <xf numFmtId="0" fontId="2" fillId="0" borderId="15" xfId="0" applyFont="1" applyBorder="1"/>
    <xf numFmtId="0" fontId="0" fillId="6" borderId="16" xfId="0" applyFill="1" applyBorder="1"/>
    <xf numFmtId="0" fontId="0" fillId="6" borderId="16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7" xfId="0" applyBorder="1"/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4" fillId="0" borderId="0" xfId="3" applyFont="1" applyFill="1" applyBorder="1" applyProtection="1"/>
    <xf numFmtId="0" fontId="14" fillId="0" borderId="0" xfId="3" applyFont="1" applyFill="1" applyBorder="1"/>
    <xf numFmtId="0" fontId="14" fillId="0" borderId="18" xfId="3" applyFont="1" applyBorder="1"/>
    <xf numFmtId="0" fontId="14" fillId="0" borderId="19" xfId="3" applyFont="1" applyBorder="1"/>
    <xf numFmtId="0" fontId="14" fillId="0" borderId="20" xfId="3" applyFont="1" applyBorder="1"/>
    <xf numFmtId="0" fontId="15" fillId="0" borderId="0" xfId="3" applyFont="1" applyFill="1" applyBorder="1"/>
    <xf numFmtId="0" fontId="15" fillId="0" borderId="0" xfId="3" applyFont="1" applyFill="1" applyBorder="1" applyProtection="1"/>
    <xf numFmtId="0" fontId="0" fillId="0" borderId="0" xfId="0" applyFill="1"/>
    <xf numFmtId="0" fontId="16" fillId="0" borderId="0" xfId="3" applyFont="1" applyFill="1" applyBorder="1" applyProtection="1"/>
    <xf numFmtId="0" fontId="12" fillId="0" borderId="0" xfId="0" applyFont="1"/>
    <xf numFmtId="0" fontId="16" fillId="0" borderId="0" xfId="3" applyFont="1" applyFill="1" applyBorder="1"/>
    <xf numFmtId="0" fontId="0" fillId="5" borderId="18" xfId="0" applyFill="1" applyBorder="1"/>
    <xf numFmtId="0" fontId="0" fillId="7" borderId="18" xfId="0" applyFill="1" applyBorder="1"/>
    <xf numFmtId="0" fontId="0" fillId="7" borderId="17" xfId="0" applyFill="1" applyBorder="1"/>
    <xf numFmtId="0" fontId="0" fillId="0" borderId="0" xfId="0" applyFill="1" applyBorder="1"/>
    <xf numFmtId="0" fontId="0" fillId="0" borderId="0" xfId="0" applyAlignment="1"/>
    <xf numFmtId="0" fontId="15" fillId="0" borderId="0" xfId="3" applyFont="1" applyFill="1" applyBorder="1" applyProtection="1">
      <protection hidden="1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Protection="1">
      <protection locked="0" hidden="1"/>
    </xf>
    <xf numFmtId="0" fontId="2" fillId="0" borderId="5" xfId="0" applyFont="1" applyBorder="1" applyAlignment="1" applyProtection="1">
      <alignment horizontal="left" vertical="center"/>
      <protection locked="0" hidden="1"/>
    </xf>
    <xf numFmtId="0" fontId="2" fillId="0" borderId="4" xfId="0" applyFont="1" applyBorder="1" applyAlignment="1" applyProtection="1">
      <alignment horizontal="left" vertical="center"/>
      <protection locked="0" hidden="1"/>
    </xf>
    <xf numFmtId="0" fontId="0" fillId="0" borderId="0" xfId="0" applyAlignment="1" applyProtection="1">
      <alignment horizontal="right"/>
      <protection locked="0" hidden="1"/>
    </xf>
    <xf numFmtId="0" fontId="2" fillId="0" borderId="5" xfId="0" applyFont="1" applyBorder="1" applyAlignment="1" applyProtection="1">
      <alignment horizontal="center" vertical="center"/>
      <protection locked="0" hidden="1"/>
    </xf>
    <xf numFmtId="0" fontId="0" fillId="0" borderId="0" xfId="0" applyBorder="1" applyProtection="1">
      <protection locked="0" hidden="1"/>
    </xf>
    <xf numFmtId="0" fontId="0" fillId="0" borderId="2" xfId="0" applyBorder="1" applyAlignment="1" applyProtection="1">
      <alignment horizontal="center" vertical="center"/>
      <protection locked="0" hidden="1"/>
    </xf>
    <xf numFmtId="0" fontId="0" fillId="0" borderId="2" xfId="0" applyBorder="1" applyAlignment="1" applyProtection="1">
      <alignment horizontal="right" vertical="center"/>
      <protection locked="0" hidden="1"/>
    </xf>
    <xf numFmtId="0" fontId="0" fillId="0" borderId="2" xfId="0" applyBorder="1" applyAlignment="1" applyProtection="1">
      <alignment horizontal="left" vertical="center"/>
      <protection locked="0" hidden="1"/>
    </xf>
    <xf numFmtId="0" fontId="0" fillId="0" borderId="2" xfId="0" applyBorder="1" applyProtection="1">
      <protection locked="0" hidden="1"/>
    </xf>
    <xf numFmtId="0" fontId="0" fillId="0" borderId="0" xfId="0" applyAlignment="1" applyProtection="1">
      <alignment horizontal="left"/>
      <protection locked="0" hidden="1"/>
    </xf>
    <xf numFmtId="0" fontId="0" fillId="0" borderId="0" xfId="0" applyBorder="1" applyAlignment="1" applyProtection="1">
      <alignment horizontal="right"/>
      <protection locked="0" hidden="1"/>
    </xf>
    <xf numFmtId="0" fontId="0" fillId="0" borderId="0" xfId="0" applyBorder="1" applyAlignment="1" applyProtection="1">
      <alignment horizontal="left" vertical="center"/>
      <protection locked="0" hidden="1"/>
    </xf>
    <xf numFmtId="0" fontId="2" fillId="0" borderId="0" xfId="0" applyFont="1" applyBorder="1" applyAlignment="1" applyProtection="1">
      <alignment vertical="center"/>
      <protection locked="0" hidden="1"/>
    </xf>
    <xf numFmtId="0" fontId="0" fillId="0" borderId="0" xfId="0" applyProtection="1">
      <protection hidden="1"/>
    </xf>
    <xf numFmtId="0" fontId="3" fillId="0" borderId="0" xfId="0" applyFont="1" applyAlignment="1" applyProtection="1">
      <alignment horizontal="right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5" xfId="0" applyBorder="1" applyProtection="1">
      <protection hidden="1"/>
    </xf>
    <xf numFmtId="0" fontId="0" fillId="0" borderId="4" xfId="0" applyFont="1" applyBorder="1" applyProtection="1">
      <protection hidden="1"/>
    </xf>
    <xf numFmtId="0" fontId="2" fillId="0" borderId="2" xfId="0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2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2" fillId="0" borderId="2" xfId="0" applyFont="1" applyBorder="1" applyAlignment="1" applyProtection="1">
      <alignment horizontal="center" vertical="center"/>
      <protection hidden="1"/>
    </xf>
    <xf numFmtId="0" fontId="9" fillId="0" borderId="2" xfId="0" applyFont="1" applyBorder="1" applyProtection="1">
      <protection hidden="1"/>
    </xf>
    <xf numFmtId="0" fontId="2" fillId="0" borderId="2" xfId="0" applyFont="1" applyBorder="1" applyProtection="1">
      <protection hidden="1"/>
    </xf>
    <xf numFmtId="0" fontId="2" fillId="8" borderId="17" xfId="0" applyFont="1" applyFill="1" applyBorder="1" applyAlignment="1" applyProtection="1">
      <alignment horizontal="center" vertical="center"/>
      <protection hidden="1"/>
    </xf>
    <xf numFmtId="0" fontId="17" fillId="0" borderId="22" xfId="0" applyFont="1" applyFill="1" applyBorder="1" applyAlignment="1" applyProtection="1">
      <alignment horizontal="center" vertical="center"/>
      <protection hidden="1"/>
    </xf>
    <xf numFmtId="0" fontId="0" fillId="0" borderId="22" xfId="0" applyFill="1" applyBorder="1" applyAlignment="1" applyProtection="1">
      <alignment horizontal="center" vertical="center"/>
      <protection hidden="1"/>
    </xf>
    <xf numFmtId="0" fontId="18" fillId="0" borderId="22" xfId="0" applyFont="1" applyFill="1" applyBorder="1" applyAlignment="1" applyProtection="1">
      <alignment horizontal="center" vertical="center"/>
      <protection hidden="1"/>
    </xf>
    <xf numFmtId="0" fontId="2" fillId="0" borderId="19" xfId="0" applyFont="1" applyFill="1" applyBorder="1" applyAlignment="1" applyProtection="1">
      <alignment horizontal="center" vertical="center"/>
      <protection hidden="1"/>
    </xf>
    <xf numFmtId="0" fontId="18" fillId="0" borderId="19" xfId="0" applyFont="1" applyFill="1" applyBorder="1" applyAlignment="1" applyProtection="1">
      <alignment horizontal="center" vertical="center"/>
      <protection hidden="1"/>
    </xf>
    <xf numFmtId="0" fontId="2" fillId="5" borderId="4" xfId="0" applyFont="1" applyFill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vertical="center"/>
      <protection hidden="1"/>
    </xf>
    <xf numFmtId="0" fontId="18" fillId="0" borderId="0" xfId="0" applyFont="1" applyFill="1" applyBorder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left"/>
      <protection hidden="1"/>
    </xf>
    <xf numFmtId="0" fontId="19" fillId="0" borderId="0" xfId="0" applyFont="1" applyProtection="1">
      <protection hidden="1"/>
    </xf>
    <xf numFmtId="0" fontId="0" fillId="0" borderId="0" xfId="0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/>
      <protection hidden="1"/>
    </xf>
    <xf numFmtId="0" fontId="6" fillId="0" borderId="0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left" vertical="center" wrapText="1" indent="1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9" fillId="2" borderId="0" xfId="0" applyFont="1" applyFill="1" applyBorder="1" applyAlignment="1" applyProtection="1">
      <alignment horizontal="center"/>
      <protection hidden="1"/>
    </xf>
    <xf numFmtId="0" fontId="9" fillId="3" borderId="0" xfId="0" applyFont="1" applyFill="1" applyBorder="1" applyAlignment="1" applyProtection="1">
      <alignment horizontal="center"/>
      <protection hidden="1"/>
    </xf>
    <xf numFmtId="0" fontId="9" fillId="4" borderId="0" xfId="0" applyFont="1" applyFill="1" applyBorder="1" applyAlignment="1" applyProtection="1">
      <alignment horizontal="center"/>
      <protection hidden="1"/>
    </xf>
    <xf numFmtId="0" fontId="0" fillId="0" borderId="26" xfId="0" applyBorder="1" applyProtection="1">
      <protection hidden="1"/>
    </xf>
    <xf numFmtId="0" fontId="1" fillId="0" borderId="30" xfId="1" applyBorder="1" applyProtection="1">
      <protection hidden="1"/>
    </xf>
    <xf numFmtId="0" fontId="0" fillId="0" borderId="27" xfId="0" applyBorder="1" applyProtection="1">
      <protection hidden="1"/>
    </xf>
    <xf numFmtId="0" fontId="0" fillId="0" borderId="28" xfId="0" applyBorder="1" applyProtection="1">
      <protection hidden="1"/>
    </xf>
    <xf numFmtId="0" fontId="0" fillId="0" borderId="31" xfId="0" applyBorder="1" applyProtection="1">
      <protection hidden="1"/>
    </xf>
    <xf numFmtId="0" fontId="3" fillId="0" borderId="0" xfId="0" applyFont="1" applyBorder="1" applyAlignment="1" applyProtection="1">
      <alignment horizontal="right"/>
      <protection hidden="1"/>
    </xf>
    <xf numFmtId="0" fontId="0" fillId="0" borderId="32" xfId="0" applyBorder="1" applyProtection="1">
      <protection hidden="1"/>
    </xf>
    <xf numFmtId="0" fontId="0" fillId="0" borderId="0" xfId="0" applyBorder="1" applyAlignment="1" applyProtection="1">
      <alignment horizontal="right"/>
      <protection hidden="1"/>
    </xf>
    <xf numFmtId="0" fontId="1" fillId="0" borderId="1" xfId="1" applyBorder="1" applyProtection="1">
      <protection hidden="1"/>
    </xf>
    <xf numFmtId="0" fontId="2" fillId="0" borderId="0" xfId="0" applyFont="1" applyBorder="1" applyAlignment="1" applyProtection="1">
      <alignment horizontal="center" vertical="center"/>
      <protection locked="0" hidden="1"/>
    </xf>
    <xf numFmtId="0" fontId="2" fillId="0" borderId="0" xfId="0" applyFont="1" applyBorder="1" applyProtection="1">
      <protection hidden="1"/>
    </xf>
    <xf numFmtId="0" fontId="2" fillId="0" borderId="0" xfId="0" applyFont="1" applyBorder="1" applyAlignment="1" applyProtection="1">
      <alignment horizontal="left" vertical="center"/>
      <protection hidden="1"/>
    </xf>
    <xf numFmtId="0" fontId="4" fillId="0" borderId="0" xfId="0" applyFont="1" applyBorder="1" applyAlignment="1" applyProtection="1">
      <alignment horizontal="right"/>
      <protection hidden="1"/>
    </xf>
    <xf numFmtId="0" fontId="0" fillId="0" borderId="29" xfId="0" applyBorder="1" applyProtection="1">
      <protection hidden="1"/>
    </xf>
    <xf numFmtId="0" fontId="0" fillId="0" borderId="24" xfId="0" applyBorder="1" applyProtection="1">
      <protection hidden="1"/>
    </xf>
    <xf numFmtId="0" fontId="3" fillId="0" borderId="24" xfId="0" applyFont="1" applyBorder="1" applyAlignment="1" applyProtection="1">
      <alignment horizontal="right"/>
      <protection hidden="1"/>
    </xf>
    <xf numFmtId="0" fontId="0" fillId="0" borderId="25" xfId="0" applyBorder="1" applyProtection="1">
      <protection hidden="1"/>
    </xf>
    <xf numFmtId="0" fontId="0" fillId="0" borderId="0" xfId="0" applyFont="1" applyBorder="1" applyProtection="1">
      <protection hidden="1"/>
    </xf>
    <xf numFmtId="0" fontId="20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 vertical="center"/>
      <protection locked="0"/>
    </xf>
    <xf numFmtId="164" fontId="16" fillId="0" borderId="0" xfId="0" applyNumberFormat="1" applyFont="1" applyBorder="1" applyProtection="1">
      <protection locked="0" hidden="1"/>
    </xf>
    <xf numFmtId="0" fontId="0" fillId="0" borderId="0" xfId="0" applyAlignment="1">
      <alignment horizontal="center"/>
    </xf>
    <xf numFmtId="0" fontId="2" fillId="0" borderId="5" xfId="0" applyFont="1" applyBorder="1" applyAlignment="1" applyProtection="1">
      <alignment horizontal="center"/>
      <protection hidden="1"/>
    </xf>
    <xf numFmtId="0" fontId="2" fillId="0" borderId="4" xfId="0" applyFont="1" applyBorder="1" applyAlignment="1" applyProtection="1">
      <alignment horizontal="center"/>
      <protection hidden="1"/>
    </xf>
    <xf numFmtId="0" fontId="9" fillId="2" borderId="0" xfId="0" applyFont="1" applyFill="1" applyBorder="1" applyAlignment="1" applyProtection="1">
      <alignment horizontal="center"/>
      <protection hidden="1"/>
    </xf>
    <xf numFmtId="0" fontId="9" fillId="3" borderId="0" xfId="0" applyFont="1" applyFill="1" applyBorder="1" applyAlignment="1" applyProtection="1">
      <alignment horizontal="center"/>
      <protection hidden="1"/>
    </xf>
    <xf numFmtId="0" fontId="9" fillId="4" borderId="0" xfId="0" applyFont="1" applyFill="1" applyBorder="1" applyAlignment="1" applyProtection="1">
      <alignment horizontal="center"/>
      <protection hidden="1"/>
    </xf>
    <xf numFmtId="0" fontId="2" fillId="0" borderId="2" xfId="0" applyFont="1" applyBorder="1" applyAlignment="1" applyProtection="1">
      <alignment horizontal="center" vertical="center"/>
      <protection hidden="1"/>
    </xf>
    <xf numFmtId="0" fontId="11" fillId="0" borderId="5" xfId="2" applyFont="1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/>
    </xf>
    <xf numFmtId="0" fontId="11" fillId="0" borderId="0" xfId="2" applyFont="1" applyAlignment="1" applyProtection="1">
      <alignment horizontal="center"/>
      <protection hidden="1"/>
    </xf>
    <xf numFmtId="0" fontId="18" fillId="8" borderId="18" xfId="0" applyFont="1" applyFill="1" applyBorder="1" applyAlignment="1" applyProtection="1">
      <alignment horizontal="center" vertical="center"/>
      <protection locked="0" hidden="1"/>
    </xf>
    <xf numFmtId="0" fontId="18" fillId="8" borderId="20" xfId="0" applyFont="1" applyFill="1" applyBorder="1" applyAlignment="1" applyProtection="1">
      <alignment horizontal="center" vertical="center"/>
      <protection locked="0" hidden="1"/>
    </xf>
    <xf numFmtId="0" fontId="17" fillId="8" borderId="17" xfId="0" applyFont="1" applyFill="1" applyBorder="1" applyAlignment="1" applyProtection="1">
      <alignment horizontal="center" vertical="center"/>
      <protection hidden="1"/>
    </xf>
    <xf numFmtId="0" fontId="18" fillId="8" borderId="17" xfId="0" applyFont="1" applyFill="1" applyBorder="1" applyAlignment="1" applyProtection="1">
      <alignment horizontal="center" vertical="center"/>
      <protection locked="0" hidden="1"/>
    </xf>
    <xf numFmtId="0" fontId="0" fillId="8" borderId="21" xfId="0" applyFill="1" applyBorder="1" applyAlignment="1" applyProtection="1">
      <alignment horizontal="center"/>
      <protection hidden="1"/>
    </xf>
    <xf numFmtId="0" fontId="0" fillId="8" borderId="22" xfId="0" applyFill="1" applyBorder="1" applyAlignment="1" applyProtection="1">
      <alignment horizontal="center"/>
      <protection hidden="1"/>
    </xf>
    <xf numFmtId="0" fontId="0" fillId="8" borderId="23" xfId="0" applyFill="1" applyBorder="1" applyAlignment="1" applyProtection="1">
      <alignment horizontal="center"/>
      <protection hidden="1"/>
    </xf>
    <xf numFmtId="0" fontId="2" fillId="8" borderId="21" xfId="0" applyFont="1" applyFill="1" applyBorder="1" applyAlignment="1" applyProtection="1">
      <alignment horizontal="center" vertical="center"/>
      <protection hidden="1"/>
    </xf>
    <xf numFmtId="0" fontId="2" fillId="8" borderId="22" xfId="0" applyFont="1" applyFill="1" applyBorder="1" applyAlignment="1" applyProtection="1">
      <alignment horizontal="center" vertical="center"/>
      <protection hidden="1"/>
    </xf>
    <xf numFmtId="0" fontId="2" fillId="8" borderId="23" xfId="0" applyFont="1" applyFill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0" fontId="2" fillId="0" borderId="26" xfId="0" applyFont="1" applyBorder="1" applyAlignment="1" applyProtection="1">
      <alignment horizontal="center" vertical="center"/>
      <protection hidden="1"/>
    </xf>
    <xf numFmtId="0" fontId="2" fillId="0" borderId="27" xfId="0" applyFont="1" applyBorder="1" applyAlignment="1" applyProtection="1">
      <alignment horizontal="center" vertical="center"/>
      <protection hidden="1"/>
    </xf>
    <xf numFmtId="0" fontId="2" fillId="0" borderId="28" xfId="0" applyFont="1" applyBorder="1" applyAlignment="1" applyProtection="1">
      <alignment horizontal="center" vertical="center"/>
      <protection hidden="1"/>
    </xf>
    <xf numFmtId="0" fontId="2" fillId="0" borderId="29" xfId="0" applyFont="1" applyBorder="1" applyAlignment="1" applyProtection="1">
      <alignment horizontal="center" vertical="center"/>
      <protection hidden="1"/>
    </xf>
    <xf numFmtId="0" fontId="2" fillId="0" borderId="24" xfId="0" applyFont="1" applyBorder="1" applyAlignment="1" applyProtection="1">
      <alignment horizontal="center" vertical="center"/>
      <protection hidden="1"/>
    </xf>
    <xf numFmtId="0" fontId="2" fillId="0" borderId="25" xfId="0" applyFont="1" applyBorder="1" applyAlignment="1" applyProtection="1">
      <alignment horizontal="center" vertical="center"/>
      <protection hidden="1"/>
    </xf>
    <xf numFmtId="0" fontId="2" fillId="0" borderId="17" xfId="0" applyFont="1" applyBorder="1" applyAlignment="1" applyProtection="1">
      <alignment horizontal="center" vertical="center"/>
      <protection hidden="1"/>
    </xf>
  </cellXfs>
  <cellStyles count="4">
    <cellStyle name="Heading 3" xfId="1" builtinId="18"/>
    <cellStyle name="Normal" xfId="0" builtinId="0"/>
    <cellStyle name="Normal 2" xfId="3"/>
    <cellStyle name="Title" xfId="2" builtinId="15"/>
  </cellStyles>
  <dxfs count="59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6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 tint="0.39994506668294322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 tint="0.39994506668294322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6" tint="0.39994506668294322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color theme="0"/>
      </font>
    </dxf>
    <dxf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8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</dxf>
    <dxf>
      <font>
        <b/>
        <i val="0"/>
        <strike val="0"/>
      </font>
      <fill>
        <patternFill>
          <bgColor theme="8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8"/>
        </patternFill>
      </fill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auto="1"/>
      </font>
      <fill>
        <patternFill patternType="none">
          <bgColor auto="1"/>
        </patternFill>
      </fill>
    </dxf>
    <dxf>
      <font>
        <b/>
        <i val="0"/>
        <color theme="1"/>
      </font>
      <fill>
        <patternFill>
          <bgColor theme="6" tint="0.39994506668294322"/>
        </patternFill>
      </fill>
    </dxf>
    <dxf>
      <font>
        <b/>
        <i val="0"/>
        <color theme="1"/>
      </font>
      <fill>
        <patternFill>
          <bgColor theme="8"/>
        </patternFill>
      </fill>
    </dxf>
    <dxf>
      <font>
        <strike val="0"/>
        <color theme="0"/>
      </font>
      <fill>
        <patternFill patternType="none">
          <bgColor auto="1"/>
        </patternFill>
      </fill>
    </dxf>
    <dxf>
      <font>
        <strike val="0"/>
        <color theme="0"/>
      </font>
      <fill>
        <patternFill patternType="none">
          <bgColor auto="1"/>
        </patternFill>
      </fill>
    </dxf>
    <dxf>
      <font>
        <b/>
        <i val="0"/>
        <strike val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23</xdr:row>
          <xdr:rowOff>19050</xdr:rowOff>
        </xdr:from>
        <xdr:to>
          <xdr:col>6</xdr:col>
          <xdr:colOff>295275</xdr:colOff>
          <xdr:row>24</xdr:row>
          <xdr:rowOff>180975</xdr:rowOff>
        </xdr:to>
        <xdr:sp macro="" textlink="">
          <xdr:nvSpPr>
            <xdr:cNvPr id="1033" name="CommandButton1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22</xdr:row>
          <xdr:rowOff>66675</xdr:rowOff>
        </xdr:from>
        <xdr:to>
          <xdr:col>5</xdr:col>
          <xdr:colOff>952500</xdr:colOff>
          <xdr:row>24</xdr:row>
          <xdr:rowOff>28575</xdr:rowOff>
        </xdr:to>
        <xdr:sp macro="" textlink="">
          <xdr:nvSpPr>
            <xdr:cNvPr id="5123" name="CommandButton2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19</xdr:row>
          <xdr:rowOff>171450</xdr:rowOff>
        </xdr:from>
        <xdr:to>
          <xdr:col>5</xdr:col>
          <xdr:colOff>942975</xdr:colOff>
          <xdr:row>21</xdr:row>
          <xdr:rowOff>180975</xdr:rowOff>
        </xdr:to>
        <xdr:sp macro="" textlink="">
          <xdr:nvSpPr>
            <xdr:cNvPr id="5124" name="CommandButton1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47624</xdr:rowOff>
    </xdr:from>
    <xdr:to>
      <xdr:col>9</xdr:col>
      <xdr:colOff>600075</xdr:colOff>
      <xdr:row>3</xdr:row>
      <xdr:rowOff>38099</xdr:rowOff>
    </xdr:to>
    <xdr:sp macro="" textlink="">
      <xdr:nvSpPr>
        <xdr:cNvPr id="2" name="Rounded Rectangle 1"/>
        <xdr:cNvSpPr/>
      </xdr:nvSpPr>
      <xdr:spPr>
        <a:xfrm>
          <a:off x="47625" y="47624"/>
          <a:ext cx="6543675" cy="56197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tx1"/>
              </a:solidFill>
            </a:rPr>
            <a:t>Liga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114300</xdr:rowOff>
        </xdr:from>
        <xdr:to>
          <xdr:col>12</xdr:col>
          <xdr:colOff>1228725</xdr:colOff>
          <xdr:row>2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85725</xdr:rowOff>
    </xdr:from>
    <xdr:to>
      <xdr:col>9</xdr:col>
      <xdr:colOff>419100</xdr:colOff>
      <xdr:row>3</xdr:row>
      <xdr:rowOff>76200</xdr:rowOff>
    </xdr:to>
    <xdr:sp macro="" textlink="">
      <xdr:nvSpPr>
        <xdr:cNvPr id="2" name="Rounded Rectangle 1"/>
        <xdr:cNvSpPr/>
      </xdr:nvSpPr>
      <xdr:spPr>
        <a:xfrm>
          <a:off x="66675" y="85725"/>
          <a:ext cx="5210175" cy="561975"/>
        </a:xfrm>
        <a:prstGeom prst="roundRect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tx1"/>
              </a:solidFill>
            </a:rPr>
            <a:t>Grupa 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1</xdr:row>
          <xdr:rowOff>9525</xdr:rowOff>
        </xdr:from>
        <xdr:to>
          <xdr:col>12</xdr:col>
          <xdr:colOff>1524000</xdr:colOff>
          <xdr:row>2</xdr:row>
          <xdr:rowOff>152400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85725</xdr:rowOff>
    </xdr:from>
    <xdr:to>
      <xdr:col>9</xdr:col>
      <xdr:colOff>419100</xdr:colOff>
      <xdr:row>3</xdr:row>
      <xdr:rowOff>76200</xdr:rowOff>
    </xdr:to>
    <xdr:sp macro="" textlink="">
      <xdr:nvSpPr>
        <xdr:cNvPr id="2" name="Rounded Rectangle 1"/>
        <xdr:cNvSpPr/>
      </xdr:nvSpPr>
      <xdr:spPr>
        <a:xfrm>
          <a:off x="66675" y="85725"/>
          <a:ext cx="5210175" cy="561975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tx1"/>
              </a:solidFill>
            </a:rPr>
            <a:t>Grupa B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1</xdr:row>
          <xdr:rowOff>9525</xdr:rowOff>
        </xdr:from>
        <xdr:to>
          <xdr:col>12</xdr:col>
          <xdr:colOff>1524000</xdr:colOff>
          <xdr:row>2</xdr:row>
          <xdr:rowOff>152400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1</xdr:row>
      <xdr:rowOff>28575</xdr:rowOff>
    </xdr:from>
    <xdr:to>
      <xdr:col>9</xdr:col>
      <xdr:colOff>409574</xdr:colOff>
      <xdr:row>3</xdr:row>
      <xdr:rowOff>161925</xdr:rowOff>
    </xdr:to>
    <xdr:sp macro="" textlink="">
      <xdr:nvSpPr>
        <xdr:cNvPr id="2" name="Rounded Rectangle 1"/>
        <xdr:cNvSpPr/>
      </xdr:nvSpPr>
      <xdr:spPr>
        <a:xfrm>
          <a:off x="628649" y="219075"/>
          <a:ext cx="3971925" cy="51435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POLU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FINALE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19050</xdr:colOff>
      <xdr:row>4</xdr:row>
      <xdr:rowOff>47626</xdr:rowOff>
    </xdr:from>
    <xdr:to>
      <xdr:col>20</xdr:col>
      <xdr:colOff>9525</xdr:colOff>
      <xdr:row>6</xdr:row>
      <xdr:rowOff>142876</xdr:rowOff>
    </xdr:to>
    <xdr:sp macro="" textlink="">
      <xdr:nvSpPr>
        <xdr:cNvPr id="3" name="Rounded Rectangle 2"/>
        <xdr:cNvSpPr/>
      </xdr:nvSpPr>
      <xdr:spPr>
        <a:xfrm>
          <a:off x="5267325" y="809626"/>
          <a:ext cx="4019550" cy="4953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MEČ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 ZA 3. MESTO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21</xdr:col>
      <xdr:colOff>38100</xdr:colOff>
      <xdr:row>4</xdr:row>
      <xdr:rowOff>47625</xdr:rowOff>
    </xdr:from>
    <xdr:to>
      <xdr:col>29</xdr:col>
      <xdr:colOff>428625</xdr:colOff>
      <xdr:row>6</xdr:row>
      <xdr:rowOff>180975</xdr:rowOff>
    </xdr:to>
    <xdr:sp macro="" textlink="">
      <xdr:nvSpPr>
        <xdr:cNvPr id="4" name="Rounded Rectangle 3"/>
        <xdr:cNvSpPr/>
      </xdr:nvSpPr>
      <xdr:spPr>
        <a:xfrm>
          <a:off x="9763125" y="809625"/>
          <a:ext cx="3971925" cy="5334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FINALE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0</xdr:colOff>
      <xdr:row>18</xdr:row>
      <xdr:rowOff>0</xdr:rowOff>
    </xdr:from>
    <xdr:to>
      <xdr:col>9</xdr:col>
      <xdr:colOff>438150</xdr:colOff>
      <xdr:row>20</xdr:row>
      <xdr:rowOff>114300</xdr:rowOff>
    </xdr:to>
    <xdr:sp macro="" textlink="">
      <xdr:nvSpPr>
        <xdr:cNvPr id="5" name="Rounded Rectangle 4"/>
        <xdr:cNvSpPr/>
      </xdr:nvSpPr>
      <xdr:spPr>
        <a:xfrm>
          <a:off x="609600" y="3590925"/>
          <a:ext cx="4019550" cy="4953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MEČ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 ZA 5. MESTO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19050</xdr:rowOff>
    </xdr:from>
    <xdr:to>
      <xdr:col>9</xdr:col>
      <xdr:colOff>428625</xdr:colOff>
      <xdr:row>3</xdr:row>
      <xdr:rowOff>152400</xdr:rowOff>
    </xdr:to>
    <xdr:sp macro="" textlink="">
      <xdr:nvSpPr>
        <xdr:cNvPr id="5" name="Rounded Rectangle 4"/>
        <xdr:cNvSpPr/>
      </xdr:nvSpPr>
      <xdr:spPr>
        <a:xfrm>
          <a:off x="647700" y="209550"/>
          <a:ext cx="3971925" cy="51435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POLU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FINALE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</xdr:colOff>
      <xdr:row>5</xdr:row>
      <xdr:rowOff>66676</xdr:rowOff>
    </xdr:from>
    <xdr:to>
      <xdr:col>19</xdr:col>
      <xdr:colOff>438151</xdr:colOff>
      <xdr:row>7</xdr:row>
      <xdr:rowOff>161926</xdr:rowOff>
    </xdr:to>
    <xdr:sp macro="" textlink="">
      <xdr:nvSpPr>
        <xdr:cNvPr id="6" name="Rounded Rectangle 5"/>
        <xdr:cNvSpPr/>
      </xdr:nvSpPr>
      <xdr:spPr>
        <a:xfrm>
          <a:off x="5248276" y="1028701"/>
          <a:ext cx="4019550" cy="4953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MEČ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 ZA 3. MESTO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21</xdr:col>
      <xdr:colOff>28576</xdr:colOff>
      <xdr:row>5</xdr:row>
      <xdr:rowOff>47625</xdr:rowOff>
    </xdr:from>
    <xdr:to>
      <xdr:col>29</xdr:col>
      <xdr:colOff>419101</xdr:colOff>
      <xdr:row>7</xdr:row>
      <xdr:rowOff>180975</xdr:rowOff>
    </xdr:to>
    <xdr:sp macro="" textlink="">
      <xdr:nvSpPr>
        <xdr:cNvPr id="7" name="Rounded Rectangle 6"/>
        <xdr:cNvSpPr/>
      </xdr:nvSpPr>
      <xdr:spPr>
        <a:xfrm>
          <a:off x="9915526" y="1009650"/>
          <a:ext cx="3971925" cy="5334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FINALE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0</xdr:colOff>
      <xdr:row>17</xdr:row>
      <xdr:rowOff>0</xdr:rowOff>
    </xdr:from>
    <xdr:to>
      <xdr:col>9</xdr:col>
      <xdr:colOff>438150</xdr:colOff>
      <xdr:row>19</xdr:row>
      <xdr:rowOff>114300</xdr:rowOff>
    </xdr:to>
    <xdr:sp macro="" textlink="">
      <xdr:nvSpPr>
        <xdr:cNvPr id="8" name="Rounded Rectangle 7"/>
        <xdr:cNvSpPr/>
      </xdr:nvSpPr>
      <xdr:spPr>
        <a:xfrm>
          <a:off x="609600" y="3400425"/>
          <a:ext cx="4019550" cy="4953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MEČ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 ZA </a:t>
          </a:r>
          <a:r>
            <a:rPr lang="en-U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5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. MESTO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95250</xdr:rowOff>
    </xdr:from>
    <xdr:to>
      <xdr:col>10</xdr:col>
      <xdr:colOff>9525</xdr:colOff>
      <xdr:row>4</xdr:row>
      <xdr:rowOff>28575</xdr:rowOff>
    </xdr:to>
    <xdr:sp macro="" textlink="">
      <xdr:nvSpPr>
        <xdr:cNvPr id="2" name="Rounded Rectangle 1"/>
        <xdr:cNvSpPr/>
      </xdr:nvSpPr>
      <xdr:spPr>
        <a:xfrm>
          <a:off x="609600" y="285750"/>
          <a:ext cx="4038600" cy="5048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ČETVRTINA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 FINALA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285750</xdr:colOff>
      <xdr:row>1</xdr:row>
      <xdr:rowOff>95250</xdr:rowOff>
    </xdr:from>
    <xdr:to>
      <xdr:col>20</xdr:col>
      <xdr:colOff>19050</xdr:colOff>
      <xdr:row>4</xdr:row>
      <xdr:rowOff>28575</xdr:rowOff>
    </xdr:to>
    <xdr:sp macro="" textlink="">
      <xdr:nvSpPr>
        <xdr:cNvPr id="3" name="Rounded Rectangle 2"/>
        <xdr:cNvSpPr/>
      </xdr:nvSpPr>
      <xdr:spPr>
        <a:xfrm>
          <a:off x="4924425" y="285750"/>
          <a:ext cx="4057650" cy="5048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POLU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FINALE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21</xdr:col>
      <xdr:colOff>0</xdr:colOff>
      <xdr:row>4</xdr:row>
      <xdr:rowOff>104775</xdr:rowOff>
    </xdr:from>
    <xdr:to>
      <xdr:col>30</xdr:col>
      <xdr:colOff>9525</xdr:colOff>
      <xdr:row>7</xdr:row>
      <xdr:rowOff>9525</xdr:rowOff>
    </xdr:to>
    <xdr:sp macro="" textlink="">
      <xdr:nvSpPr>
        <xdr:cNvPr id="4" name="Rounded Rectangle 3"/>
        <xdr:cNvSpPr/>
      </xdr:nvSpPr>
      <xdr:spPr>
        <a:xfrm>
          <a:off x="9182100" y="866775"/>
          <a:ext cx="4038600" cy="5048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MEČ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 ZA 3. MESTO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31</xdr:col>
      <xdr:colOff>9525</xdr:colOff>
      <xdr:row>4</xdr:row>
      <xdr:rowOff>104775</xdr:rowOff>
    </xdr:from>
    <xdr:to>
      <xdr:col>40</xdr:col>
      <xdr:colOff>38100</xdr:colOff>
      <xdr:row>7</xdr:row>
      <xdr:rowOff>9525</xdr:rowOff>
    </xdr:to>
    <xdr:sp macro="" textlink="">
      <xdr:nvSpPr>
        <xdr:cNvPr id="5" name="Rounded Rectangle 4"/>
        <xdr:cNvSpPr/>
      </xdr:nvSpPr>
      <xdr:spPr>
        <a:xfrm>
          <a:off x="13515975" y="866775"/>
          <a:ext cx="4057650" cy="5048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FINALE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0</xdr:colOff>
      <xdr:row>17</xdr:row>
      <xdr:rowOff>0</xdr:rowOff>
    </xdr:from>
    <xdr:to>
      <xdr:col>10</xdr:col>
      <xdr:colOff>9525</xdr:colOff>
      <xdr:row>19</xdr:row>
      <xdr:rowOff>123825</xdr:rowOff>
    </xdr:to>
    <xdr:sp macro="" textlink="">
      <xdr:nvSpPr>
        <xdr:cNvPr id="6" name="Rounded Rectangle 5"/>
        <xdr:cNvSpPr/>
      </xdr:nvSpPr>
      <xdr:spPr>
        <a:xfrm>
          <a:off x="609600" y="3352800"/>
          <a:ext cx="4038600" cy="5048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MEČ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 ZA </a:t>
          </a:r>
          <a:r>
            <a:rPr lang="en-U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7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. MESTO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0</xdr:colOff>
      <xdr:row>17</xdr:row>
      <xdr:rowOff>0</xdr:rowOff>
    </xdr:from>
    <xdr:to>
      <xdr:col>20</xdr:col>
      <xdr:colOff>9525</xdr:colOff>
      <xdr:row>19</xdr:row>
      <xdr:rowOff>123825</xdr:rowOff>
    </xdr:to>
    <xdr:sp macro="" textlink="">
      <xdr:nvSpPr>
        <xdr:cNvPr id="7" name="Rounded Rectangle 6"/>
        <xdr:cNvSpPr/>
      </xdr:nvSpPr>
      <xdr:spPr>
        <a:xfrm>
          <a:off x="4933950" y="3352800"/>
          <a:ext cx="4038600" cy="5048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MEČ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 ZA </a:t>
          </a:r>
          <a:r>
            <a:rPr lang="en-U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5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. MESTO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95250</xdr:rowOff>
    </xdr:from>
    <xdr:to>
      <xdr:col>10</xdr:col>
      <xdr:colOff>9525</xdr:colOff>
      <xdr:row>4</xdr:row>
      <xdr:rowOff>28575</xdr:rowOff>
    </xdr:to>
    <xdr:sp macro="" textlink="">
      <xdr:nvSpPr>
        <xdr:cNvPr id="2" name="Rounded Rectangle 1"/>
        <xdr:cNvSpPr/>
      </xdr:nvSpPr>
      <xdr:spPr>
        <a:xfrm>
          <a:off x="609600" y="285750"/>
          <a:ext cx="4038600" cy="5048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ČETVRTINA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 FINALA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285750</xdr:colOff>
      <xdr:row>1</xdr:row>
      <xdr:rowOff>95250</xdr:rowOff>
    </xdr:from>
    <xdr:to>
      <xdr:col>20</xdr:col>
      <xdr:colOff>19050</xdr:colOff>
      <xdr:row>4</xdr:row>
      <xdr:rowOff>28575</xdr:rowOff>
    </xdr:to>
    <xdr:sp macro="" textlink="">
      <xdr:nvSpPr>
        <xdr:cNvPr id="3" name="Rounded Rectangle 2"/>
        <xdr:cNvSpPr/>
      </xdr:nvSpPr>
      <xdr:spPr>
        <a:xfrm>
          <a:off x="4924425" y="285750"/>
          <a:ext cx="4057650" cy="5048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POLU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FINALE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21</xdr:col>
      <xdr:colOff>0</xdr:colOff>
      <xdr:row>4</xdr:row>
      <xdr:rowOff>104775</xdr:rowOff>
    </xdr:from>
    <xdr:to>
      <xdr:col>30</xdr:col>
      <xdr:colOff>9525</xdr:colOff>
      <xdr:row>7</xdr:row>
      <xdr:rowOff>9525</xdr:rowOff>
    </xdr:to>
    <xdr:sp macro="" textlink="">
      <xdr:nvSpPr>
        <xdr:cNvPr id="4" name="Rounded Rectangle 3"/>
        <xdr:cNvSpPr/>
      </xdr:nvSpPr>
      <xdr:spPr>
        <a:xfrm>
          <a:off x="9182100" y="866775"/>
          <a:ext cx="4038600" cy="5048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MEČ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 ZA 3. MESTO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31</xdr:col>
      <xdr:colOff>9525</xdr:colOff>
      <xdr:row>4</xdr:row>
      <xdr:rowOff>104775</xdr:rowOff>
    </xdr:from>
    <xdr:to>
      <xdr:col>40</xdr:col>
      <xdr:colOff>38100</xdr:colOff>
      <xdr:row>7</xdr:row>
      <xdr:rowOff>9525</xdr:rowOff>
    </xdr:to>
    <xdr:sp macro="" textlink="">
      <xdr:nvSpPr>
        <xdr:cNvPr id="5" name="Rounded Rectangle 4"/>
        <xdr:cNvSpPr/>
      </xdr:nvSpPr>
      <xdr:spPr>
        <a:xfrm>
          <a:off x="13515975" y="866775"/>
          <a:ext cx="4057650" cy="5048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FINALE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0</xdr:colOff>
      <xdr:row>17</xdr:row>
      <xdr:rowOff>0</xdr:rowOff>
    </xdr:from>
    <xdr:to>
      <xdr:col>10</xdr:col>
      <xdr:colOff>9525</xdr:colOff>
      <xdr:row>19</xdr:row>
      <xdr:rowOff>123825</xdr:rowOff>
    </xdr:to>
    <xdr:sp macro="" textlink="">
      <xdr:nvSpPr>
        <xdr:cNvPr id="6" name="Rounded Rectangle 5"/>
        <xdr:cNvSpPr/>
      </xdr:nvSpPr>
      <xdr:spPr>
        <a:xfrm>
          <a:off x="609600" y="3352800"/>
          <a:ext cx="4038600" cy="5048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MEČ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 ZA </a:t>
          </a:r>
          <a:r>
            <a:rPr lang="en-U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7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. MESTO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0</xdr:colOff>
      <xdr:row>17</xdr:row>
      <xdr:rowOff>0</xdr:rowOff>
    </xdr:from>
    <xdr:to>
      <xdr:col>20</xdr:col>
      <xdr:colOff>9525</xdr:colOff>
      <xdr:row>19</xdr:row>
      <xdr:rowOff>123825</xdr:rowOff>
    </xdr:to>
    <xdr:sp macro="" textlink="">
      <xdr:nvSpPr>
        <xdr:cNvPr id="7" name="Rounded Rectangle 6"/>
        <xdr:cNvSpPr/>
      </xdr:nvSpPr>
      <xdr:spPr>
        <a:xfrm>
          <a:off x="4933950" y="3352800"/>
          <a:ext cx="4038600" cy="5048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MEČ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 ZA </a:t>
          </a:r>
          <a:r>
            <a:rPr lang="en-U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5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. MESTO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</xdr:row>
      <xdr:rowOff>19050</xdr:rowOff>
    </xdr:from>
    <xdr:to>
      <xdr:col>10</xdr:col>
      <xdr:colOff>0</xdr:colOff>
      <xdr:row>3</xdr:row>
      <xdr:rowOff>142875</xdr:rowOff>
    </xdr:to>
    <xdr:sp macro="" textlink="">
      <xdr:nvSpPr>
        <xdr:cNvPr id="2" name="Rounded Rectangle 1"/>
        <xdr:cNvSpPr/>
      </xdr:nvSpPr>
      <xdr:spPr>
        <a:xfrm>
          <a:off x="381000" y="209550"/>
          <a:ext cx="4038600" cy="5048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ČETVRTINA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 FINALA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47625</xdr:rowOff>
    </xdr:from>
    <xdr:to>
      <xdr:col>20</xdr:col>
      <xdr:colOff>28575</xdr:colOff>
      <xdr:row>9</xdr:row>
      <xdr:rowOff>152400</xdr:rowOff>
    </xdr:to>
    <xdr:sp macro="" textlink="">
      <xdr:nvSpPr>
        <xdr:cNvPr id="3" name="Rounded Rectangle 2"/>
        <xdr:cNvSpPr/>
      </xdr:nvSpPr>
      <xdr:spPr>
        <a:xfrm>
          <a:off x="4772025" y="1409700"/>
          <a:ext cx="4057650" cy="5048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POLU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FINALE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476250</xdr:colOff>
      <xdr:row>10</xdr:row>
      <xdr:rowOff>66675</xdr:rowOff>
    </xdr:from>
    <xdr:to>
      <xdr:col>30</xdr:col>
      <xdr:colOff>9525</xdr:colOff>
      <xdr:row>12</xdr:row>
      <xdr:rowOff>171450</xdr:rowOff>
    </xdr:to>
    <xdr:sp macro="" textlink="">
      <xdr:nvSpPr>
        <xdr:cNvPr id="4" name="Rounded Rectangle 3"/>
        <xdr:cNvSpPr/>
      </xdr:nvSpPr>
      <xdr:spPr>
        <a:xfrm>
          <a:off x="9105900" y="2028825"/>
          <a:ext cx="4038600" cy="5048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MEČ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 ZA 3. MESTO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31</xdr:col>
      <xdr:colOff>0</xdr:colOff>
      <xdr:row>10</xdr:row>
      <xdr:rowOff>47625</xdr:rowOff>
    </xdr:from>
    <xdr:to>
      <xdr:col>40</xdr:col>
      <xdr:colOff>28575</xdr:colOff>
      <xdr:row>12</xdr:row>
      <xdr:rowOff>152400</xdr:rowOff>
    </xdr:to>
    <xdr:sp macro="" textlink="">
      <xdr:nvSpPr>
        <xdr:cNvPr id="5" name="Rounded Rectangle 4"/>
        <xdr:cNvSpPr/>
      </xdr:nvSpPr>
      <xdr:spPr>
        <a:xfrm>
          <a:off x="13401675" y="2009775"/>
          <a:ext cx="4057650" cy="5048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FINALE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0</xdr:colOff>
      <xdr:row>29</xdr:row>
      <xdr:rowOff>0</xdr:rowOff>
    </xdr:from>
    <xdr:to>
      <xdr:col>20</xdr:col>
      <xdr:colOff>28575</xdr:colOff>
      <xdr:row>31</xdr:row>
      <xdr:rowOff>123825</xdr:rowOff>
    </xdr:to>
    <xdr:sp macro="" textlink="">
      <xdr:nvSpPr>
        <xdr:cNvPr id="7" name="Rounded Rectangle 6"/>
        <xdr:cNvSpPr/>
      </xdr:nvSpPr>
      <xdr:spPr>
        <a:xfrm>
          <a:off x="4772025" y="5753100"/>
          <a:ext cx="4057650" cy="5048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POLU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FINALE</a:t>
          </a:r>
          <a:r>
            <a:rPr lang="en-U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 PORA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ŽENI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0</xdr:colOff>
      <xdr:row>29</xdr:row>
      <xdr:rowOff>0</xdr:rowOff>
    </xdr:from>
    <xdr:to>
      <xdr:col>10</xdr:col>
      <xdr:colOff>9525</xdr:colOff>
      <xdr:row>31</xdr:row>
      <xdr:rowOff>123825</xdr:rowOff>
    </xdr:to>
    <xdr:sp macro="" textlink="">
      <xdr:nvSpPr>
        <xdr:cNvPr id="8" name="Rounded Rectangle 7"/>
        <xdr:cNvSpPr/>
      </xdr:nvSpPr>
      <xdr:spPr>
        <a:xfrm>
          <a:off x="390525" y="5753100"/>
          <a:ext cx="4038600" cy="5048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MEČ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 ZA </a:t>
          </a:r>
          <a:r>
            <a:rPr lang="en-U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9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. MESTO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21</xdr:col>
      <xdr:colOff>0</xdr:colOff>
      <xdr:row>29</xdr:row>
      <xdr:rowOff>0</xdr:rowOff>
    </xdr:from>
    <xdr:to>
      <xdr:col>30</xdr:col>
      <xdr:colOff>9525</xdr:colOff>
      <xdr:row>31</xdr:row>
      <xdr:rowOff>123825</xdr:rowOff>
    </xdr:to>
    <xdr:sp macro="" textlink="">
      <xdr:nvSpPr>
        <xdr:cNvPr id="9" name="Rounded Rectangle 8"/>
        <xdr:cNvSpPr/>
      </xdr:nvSpPr>
      <xdr:spPr>
        <a:xfrm>
          <a:off x="9105900" y="5753100"/>
          <a:ext cx="4038600" cy="5048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MEČ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 ZA </a:t>
          </a:r>
          <a:r>
            <a:rPr lang="en-U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7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. MESTO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31</xdr:col>
      <xdr:colOff>0</xdr:colOff>
      <xdr:row>29</xdr:row>
      <xdr:rowOff>0</xdr:rowOff>
    </xdr:from>
    <xdr:to>
      <xdr:col>40</xdr:col>
      <xdr:colOff>9525</xdr:colOff>
      <xdr:row>31</xdr:row>
      <xdr:rowOff>123825</xdr:rowOff>
    </xdr:to>
    <xdr:sp macro="" textlink="">
      <xdr:nvSpPr>
        <xdr:cNvPr id="10" name="Rounded Rectangle 9"/>
        <xdr:cNvSpPr/>
      </xdr:nvSpPr>
      <xdr:spPr>
        <a:xfrm>
          <a:off x="13401675" y="5753100"/>
          <a:ext cx="4038600" cy="5048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MEČ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 ZA </a:t>
          </a:r>
          <a:r>
            <a:rPr lang="en-U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5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. MESTO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</xdr:row>
      <xdr:rowOff>19050</xdr:rowOff>
    </xdr:from>
    <xdr:to>
      <xdr:col>10</xdr:col>
      <xdr:colOff>0</xdr:colOff>
      <xdr:row>3</xdr:row>
      <xdr:rowOff>142875</xdr:rowOff>
    </xdr:to>
    <xdr:sp macro="" textlink="">
      <xdr:nvSpPr>
        <xdr:cNvPr id="5" name="Rounded Rectangle 4"/>
        <xdr:cNvSpPr/>
      </xdr:nvSpPr>
      <xdr:spPr>
        <a:xfrm>
          <a:off x="381000" y="209550"/>
          <a:ext cx="4038600" cy="5048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ČETVRTINA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 FINALA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47625</xdr:rowOff>
    </xdr:from>
    <xdr:to>
      <xdr:col>20</xdr:col>
      <xdr:colOff>28575</xdr:colOff>
      <xdr:row>9</xdr:row>
      <xdr:rowOff>152400</xdr:rowOff>
    </xdr:to>
    <xdr:sp macro="" textlink="">
      <xdr:nvSpPr>
        <xdr:cNvPr id="6" name="Rounded Rectangle 5"/>
        <xdr:cNvSpPr/>
      </xdr:nvSpPr>
      <xdr:spPr>
        <a:xfrm>
          <a:off x="5353050" y="1409700"/>
          <a:ext cx="4276725" cy="5048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POLU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FINALE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20</xdr:col>
      <xdr:colOff>476250</xdr:colOff>
      <xdr:row>10</xdr:row>
      <xdr:rowOff>66675</xdr:rowOff>
    </xdr:from>
    <xdr:to>
      <xdr:col>30</xdr:col>
      <xdr:colOff>9525</xdr:colOff>
      <xdr:row>12</xdr:row>
      <xdr:rowOff>171450</xdr:rowOff>
    </xdr:to>
    <xdr:sp macro="" textlink="">
      <xdr:nvSpPr>
        <xdr:cNvPr id="7" name="Rounded Rectangle 6"/>
        <xdr:cNvSpPr/>
      </xdr:nvSpPr>
      <xdr:spPr>
        <a:xfrm>
          <a:off x="10077450" y="2028825"/>
          <a:ext cx="4276725" cy="5048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MEČ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 ZA 3. MESTO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31</xdr:col>
      <xdr:colOff>0</xdr:colOff>
      <xdr:row>10</xdr:row>
      <xdr:rowOff>47625</xdr:rowOff>
    </xdr:from>
    <xdr:to>
      <xdr:col>40</xdr:col>
      <xdr:colOff>28575</xdr:colOff>
      <xdr:row>12</xdr:row>
      <xdr:rowOff>152400</xdr:rowOff>
    </xdr:to>
    <xdr:sp macro="" textlink="">
      <xdr:nvSpPr>
        <xdr:cNvPr id="8" name="Rounded Rectangle 7"/>
        <xdr:cNvSpPr/>
      </xdr:nvSpPr>
      <xdr:spPr>
        <a:xfrm>
          <a:off x="14839950" y="2009775"/>
          <a:ext cx="4276725" cy="5048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FINALE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0</xdr:colOff>
      <xdr:row>29</xdr:row>
      <xdr:rowOff>0</xdr:rowOff>
    </xdr:from>
    <xdr:to>
      <xdr:col>10</xdr:col>
      <xdr:colOff>9525</xdr:colOff>
      <xdr:row>31</xdr:row>
      <xdr:rowOff>123825</xdr:rowOff>
    </xdr:to>
    <xdr:sp macro="" textlink="">
      <xdr:nvSpPr>
        <xdr:cNvPr id="9" name="Rounded Rectangle 8"/>
        <xdr:cNvSpPr/>
      </xdr:nvSpPr>
      <xdr:spPr>
        <a:xfrm>
          <a:off x="390525" y="5753100"/>
          <a:ext cx="4038600" cy="5048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MEČ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 ZA </a:t>
          </a:r>
          <a:r>
            <a:rPr lang="en-U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9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. MESTO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21</xdr:col>
      <xdr:colOff>0</xdr:colOff>
      <xdr:row>29</xdr:row>
      <xdr:rowOff>0</xdr:rowOff>
    </xdr:from>
    <xdr:to>
      <xdr:col>30</xdr:col>
      <xdr:colOff>9525</xdr:colOff>
      <xdr:row>31</xdr:row>
      <xdr:rowOff>123825</xdr:rowOff>
    </xdr:to>
    <xdr:sp macro="" textlink="">
      <xdr:nvSpPr>
        <xdr:cNvPr id="10" name="Rounded Rectangle 9"/>
        <xdr:cNvSpPr/>
      </xdr:nvSpPr>
      <xdr:spPr>
        <a:xfrm>
          <a:off x="9105900" y="5753100"/>
          <a:ext cx="4038600" cy="5048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MEČ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 ZA </a:t>
          </a:r>
          <a:r>
            <a:rPr lang="en-U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7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. MESTO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31</xdr:col>
      <xdr:colOff>0</xdr:colOff>
      <xdr:row>29</xdr:row>
      <xdr:rowOff>0</xdr:rowOff>
    </xdr:from>
    <xdr:to>
      <xdr:col>40</xdr:col>
      <xdr:colOff>9525</xdr:colOff>
      <xdr:row>31</xdr:row>
      <xdr:rowOff>123825</xdr:rowOff>
    </xdr:to>
    <xdr:sp macro="" textlink="">
      <xdr:nvSpPr>
        <xdr:cNvPr id="11" name="Rounded Rectangle 10"/>
        <xdr:cNvSpPr/>
      </xdr:nvSpPr>
      <xdr:spPr>
        <a:xfrm>
          <a:off x="13401675" y="5753100"/>
          <a:ext cx="4038600" cy="5048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MEČ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 ZA </a:t>
          </a:r>
          <a:r>
            <a:rPr lang="en-U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5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. MESTO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0</xdr:colOff>
      <xdr:row>29</xdr:row>
      <xdr:rowOff>0</xdr:rowOff>
    </xdr:from>
    <xdr:to>
      <xdr:col>20</xdr:col>
      <xdr:colOff>28575</xdr:colOff>
      <xdr:row>31</xdr:row>
      <xdr:rowOff>123825</xdr:rowOff>
    </xdr:to>
    <xdr:sp macro="" textlink="">
      <xdr:nvSpPr>
        <xdr:cNvPr id="12" name="Rounded Rectangle 11"/>
        <xdr:cNvSpPr/>
      </xdr:nvSpPr>
      <xdr:spPr>
        <a:xfrm>
          <a:off x="4772025" y="5753100"/>
          <a:ext cx="4057650" cy="50482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r-Latn-RS" sz="160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POLU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FINALE</a:t>
          </a:r>
          <a:r>
            <a:rPr lang="en-U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 </a:t>
          </a:r>
          <a:r>
            <a:rPr lang="sr-Latn-RS" sz="1600" baseline="0">
              <a:ln>
                <a:solidFill>
                  <a:schemeClr val="tx1"/>
                </a:solidFill>
              </a:ln>
              <a:solidFill>
                <a:sysClr val="windowText" lastClr="000000"/>
              </a:solidFill>
            </a:rPr>
            <a:t>PORAŽENI</a:t>
          </a:r>
          <a:endParaRPr lang="en-US" sz="1600">
            <a:ln>
              <a:solidFill>
                <a:schemeClr val="tx1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3</xdr:col>
          <xdr:colOff>962025</xdr:colOff>
          <xdr:row>17</xdr:row>
          <xdr:rowOff>180975</xdr:rowOff>
        </xdr:to>
        <xdr:sp macro="" textlink="">
          <xdr:nvSpPr>
            <xdr:cNvPr id="23553" name="CONTINUE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1085850</xdr:colOff>
      <xdr:row>13</xdr:row>
      <xdr:rowOff>114300</xdr:rowOff>
    </xdr:from>
    <xdr:to>
      <xdr:col>7</xdr:col>
      <xdr:colOff>9525</xdr:colOff>
      <xdr:row>17</xdr:row>
      <xdr:rowOff>19050</xdr:rowOff>
    </xdr:to>
    <xdr:sp macro="" textlink="">
      <xdr:nvSpPr>
        <xdr:cNvPr id="2" name="TextBox 1"/>
        <xdr:cNvSpPr txBox="1"/>
      </xdr:nvSpPr>
      <xdr:spPr>
        <a:xfrm>
          <a:off x="2819400" y="2590800"/>
          <a:ext cx="1981200" cy="666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1.</a:t>
          </a:r>
          <a:r>
            <a:rPr lang="en-US" sz="1100" baseline="0"/>
            <a:t> Unesite imena igraca</a:t>
          </a:r>
        </a:p>
        <a:p>
          <a:r>
            <a:rPr lang="en-US" sz="1100" baseline="0"/>
            <a:t>2. Pritisnite dugme DRAW</a:t>
          </a:r>
        </a:p>
        <a:p>
          <a:r>
            <a:rPr lang="en-US" sz="1100" baseline="0"/>
            <a:t>3. Pritisnite dugme CONTINUE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13</xdr:row>
          <xdr:rowOff>133350</xdr:rowOff>
        </xdr:from>
        <xdr:to>
          <xdr:col>3</xdr:col>
          <xdr:colOff>971550</xdr:colOff>
          <xdr:row>15</xdr:row>
          <xdr:rowOff>66675</xdr:rowOff>
        </xdr:to>
        <xdr:sp macro="" textlink="">
          <xdr:nvSpPr>
            <xdr:cNvPr id="23554" name="DRAW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6.emf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8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42"/>
  <sheetViews>
    <sheetView showGridLines="0" tabSelected="1" workbookViewId="0">
      <selection activeCell="D8" sqref="D8"/>
    </sheetView>
  </sheetViews>
  <sheetFormatPr defaultRowHeight="15" x14ac:dyDescent="0.25"/>
  <cols>
    <col min="1" max="1" width="9.140625" style="51"/>
    <col min="2" max="2" width="33.140625" style="51" bestFit="1" customWidth="1"/>
    <col min="3" max="3" width="9.140625" style="51"/>
    <col min="4" max="4" width="9.140625" style="51" customWidth="1"/>
    <col min="5" max="16384" width="9.140625" style="51"/>
  </cols>
  <sheetData>
    <row r="1" spans="1:27" ht="15.75" thickBot="1" x14ac:dyDescent="0.3">
      <c r="A1" s="103"/>
      <c r="B1" s="104" t="s">
        <v>0</v>
      </c>
      <c r="C1" s="105"/>
      <c r="D1" s="105"/>
      <c r="E1" s="105"/>
      <c r="F1" s="105"/>
      <c r="G1" s="105"/>
      <c r="H1" s="105"/>
      <c r="I1" s="106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</row>
    <row r="2" spans="1:27" x14ac:dyDescent="0.25">
      <c r="A2" s="107"/>
      <c r="B2" s="74" t="s">
        <v>1</v>
      </c>
      <c r="C2" s="108" t="s">
        <v>2</v>
      </c>
      <c r="D2" s="52"/>
      <c r="E2" s="68"/>
      <c r="F2" s="68"/>
      <c r="G2" s="68"/>
      <c r="H2" s="68"/>
      <c r="I2" s="109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</row>
    <row r="3" spans="1:27" x14ac:dyDescent="0.25">
      <c r="A3" s="107"/>
      <c r="B3" s="74" t="s">
        <v>3</v>
      </c>
      <c r="C3" s="108" t="s">
        <v>2</v>
      </c>
      <c r="D3" s="53"/>
      <c r="E3" s="69"/>
      <c r="F3" s="69"/>
      <c r="G3" s="69"/>
      <c r="H3" s="69"/>
      <c r="I3" s="109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</row>
    <row r="4" spans="1:27" x14ac:dyDescent="0.25">
      <c r="A4" s="107"/>
      <c r="B4" s="74" t="s">
        <v>15</v>
      </c>
      <c r="C4" s="108" t="s">
        <v>2</v>
      </c>
      <c r="D4" s="53"/>
      <c r="E4" s="69"/>
      <c r="F4" s="69"/>
      <c r="G4" s="69"/>
      <c r="H4" s="69"/>
      <c r="I4" s="109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</row>
    <row r="5" spans="1:27" x14ac:dyDescent="0.25">
      <c r="A5" s="107"/>
      <c r="B5" s="74"/>
      <c r="C5" s="110"/>
      <c r="D5" s="74"/>
      <c r="E5" s="74"/>
      <c r="F5" s="74"/>
      <c r="G5" s="74"/>
      <c r="H5" s="74"/>
      <c r="I5" s="109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</row>
    <row r="6" spans="1:27" ht="15.75" thickBot="1" x14ac:dyDescent="0.3">
      <c r="A6" s="107"/>
      <c r="B6" s="111" t="s">
        <v>4</v>
      </c>
      <c r="C6" s="74"/>
      <c r="D6" s="74"/>
      <c r="E6" s="74"/>
      <c r="F6" s="74"/>
      <c r="G6" s="74"/>
      <c r="H6" s="74"/>
      <c r="I6" s="109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</row>
    <row r="7" spans="1:27" x14ac:dyDescent="0.25">
      <c r="A7" s="107"/>
      <c r="B7" s="74" t="s">
        <v>5</v>
      </c>
      <c r="C7" s="108" t="s">
        <v>2</v>
      </c>
      <c r="D7" s="55"/>
      <c r="E7" s="74"/>
      <c r="F7" s="74"/>
      <c r="G7" s="74"/>
      <c r="H7" s="74"/>
      <c r="I7" s="109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</row>
    <row r="8" spans="1:27" x14ac:dyDescent="0.25">
      <c r="A8" s="107"/>
      <c r="B8" s="74" t="s">
        <v>16</v>
      </c>
      <c r="C8" s="108"/>
      <c r="D8" s="72" t="str">
        <f>IF(D7="","",IF(D7=5,"DA","NE"))</f>
        <v/>
      </c>
      <c r="E8" s="74"/>
      <c r="F8" s="74"/>
      <c r="G8" s="74"/>
      <c r="H8" s="74"/>
      <c r="I8" s="109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</row>
    <row r="9" spans="1:27" x14ac:dyDescent="0.25">
      <c r="A9" s="107"/>
      <c r="B9" s="74" t="s">
        <v>17</v>
      </c>
      <c r="C9" s="108"/>
      <c r="D9" s="72" t="str">
        <f>IF(D7="","",IF(D7&gt;5,"DA","NE"))</f>
        <v/>
      </c>
      <c r="E9" s="74"/>
      <c r="F9" s="74"/>
      <c r="G9" s="74"/>
      <c r="H9" s="74"/>
      <c r="I9" s="109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</row>
    <row r="10" spans="1:27" x14ac:dyDescent="0.25">
      <c r="A10" s="107"/>
      <c r="B10" s="74" t="s">
        <v>6</v>
      </c>
      <c r="C10" s="74"/>
      <c r="D10" s="72" t="str">
        <f>IF($D$7&gt;=6,"A","")</f>
        <v/>
      </c>
      <c r="E10" s="72" t="str">
        <f>IF($D$7&gt;=6,"B","")</f>
        <v/>
      </c>
      <c r="F10" s="74"/>
      <c r="G10" s="74"/>
      <c r="H10" s="74"/>
      <c r="I10" s="109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</row>
    <row r="11" spans="1:27" x14ac:dyDescent="0.25">
      <c r="A11" s="107"/>
      <c r="B11" s="74" t="s">
        <v>7</v>
      </c>
      <c r="C11" s="108" t="s">
        <v>2</v>
      </c>
      <c r="D11" s="73" t="str">
        <f>IF($D$7=6,3,IF($D$7=7,4,IF($D$7=8,4,IF($D$7=9,5,IF($D$7=10,5,IF($D$7=11,6,""))))))</f>
        <v/>
      </c>
      <c r="E11" s="73" t="str">
        <f>IF($D$7=6,3,IF($D$7=7,3,IF($D$7=8,4,IF($D$7=9,4,IF($D$7=10,5,IF($D$7=11,5,""))))))</f>
        <v/>
      </c>
      <c r="F11" s="74"/>
      <c r="G11" s="74"/>
      <c r="H11" s="74"/>
      <c r="I11" s="109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</row>
    <row r="12" spans="1:27" x14ac:dyDescent="0.25">
      <c r="A12" s="107"/>
      <c r="B12" s="74" t="s">
        <v>8</v>
      </c>
      <c r="C12" s="108" t="s">
        <v>2</v>
      </c>
      <c r="D12" s="73" t="str">
        <f>IF($D$7=6,2,IF($D$7=7,2,IF($D$7=8,3,IF($D$7=9,3,IF($D$7=10,4,IF($D$7=11,4,""))))))</f>
        <v/>
      </c>
      <c r="E12" s="73" t="str">
        <f>IF($D$7=6,2,IF($D$7=7,2,IF($D$7=8,3,IF($D$7=9,3,IF($D$7=10,4,IF($D$7=11,4,""))))))</f>
        <v/>
      </c>
      <c r="F12" s="74"/>
      <c r="G12" s="74"/>
      <c r="H12" s="74"/>
      <c r="I12" s="109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</row>
    <row r="13" spans="1:27" x14ac:dyDescent="0.25">
      <c r="A13" s="107"/>
      <c r="B13" s="74" t="s">
        <v>18</v>
      </c>
      <c r="C13" s="108" t="s">
        <v>2</v>
      </c>
      <c r="D13" s="112" t="s">
        <v>89</v>
      </c>
      <c r="E13" s="74"/>
      <c r="F13" s="74"/>
      <c r="G13" s="74"/>
      <c r="H13" s="74"/>
      <c r="I13" s="109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</row>
    <row r="14" spans="1:27" x14ac:dyDescent="0.25">
      <c r="A14" s="107"/>
      <c r="B14" s="74"/>
      <c r="C14" s="108"/>
      <c r="D14" s="72"/>
      <c r="E14" s="74"/>
      <c r="F14" s="74"/>
      <c r="G14" s="74"/>
      <c r="H14" s="74"/>
      <c r="I14" s="109"/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</row>
    <row r="15" spans="1:27" ht="15.75" thickBot="1" x14ac:dyDescent="0.3">
      <c r="A15" s="107"/>
      <c r="B15" s="111" t="s">
        <v>19</v>
      </c>
      <c r="C15" s="74"/>
      <c r="D15" s="74"/>
      <c r="E15" s="74"/>
      <c r="F15" s="74"/>
      <c r="G15" s="74"/>
      <c r="H15" s="74"/>
      <c r="I15" s="109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</row>
    <row r="16" spans="1:27" x14ac:dyDescent="0.25">
      <c r="A16" s="107"/>
      <c r="B16" s="113" t="s">
        <v>13</v>
      </c>
      <c r="C16" s="108" t="s">
        <v>2</v>
      </c>
      <c r="D16" s="114">
        <v>3</v>
      </c>
      <c r="E16" s="74"/>
      <c r="F16" s="74"/>
      <c r="G16" s="74"/>
      <c r="H16" s="74"/>
      <c r="I16" s="109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</row>
    <row r="17" spans="1:27" x14ac:dyDescent="0.25">
      <c r="A17" s="107"/>
      <c r="B17" s="113" t="s">
        <v>9</v>
      </c>
      <c r="C17" s="108" t="s">
        <v>2</v>
      </c>
      <c r="D17" s="114">
        <v>1</v>
      </c>
      <c r="E17" s="74"/>
      <c r="F17" s="74"/>
      <c r="G17" s="74"/>
      <c r="H17" s="74"/>
      <c r="I17" s="109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</row>
    <row r="18" spans="1:27" x14ac:dyDescent="0.25">
      <c r="A18" s="107"/>
      <c r="B18" s="113" t="s">
        <v>14</v>
      </c>
      <c r="C18" s="108" t="s">
        <v>2</v>
      </c>
      <c r="D18" s="114">
        <v>0</v>
      </c>
      <c r="E18" s="74"/>
      <c r="F18" s="74"/>
      <c r="G18" s="74"/>
      <c r="H18" s="74"/>
      <c r="I18" s="109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</row>
    <row r="19" spans="1:27" x14ac:dyDescent="0.25">
      <c r="A19" s="107"/>
      <c r="B19" s="113" t="s">
        <v>10</v>
      </c>
      <c r="C19" s="108" t="s">
        <v>2</v>
      </c>
      <c r="D19" s="114">
        <v>3</v>
      </c>
      <c r="E19" s="74"/>
      <c r="F19" s="74"/>
      <c r="G19" s="74"/>
      <c r="H19" s="74"/>
      <c r="I19" s="109"/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</row>
    <row r="20" spans="1:27" x14ac:dyDescent="0.25">
      <c r="A20" s="107"/>
      <c r="B20" s="113" t="s">
        <v>11</v>
      </c>
      <c r="C20" s="108" t="s">
        <v>2</v>
      </c>
      <c r="D20" s="114">
        <v>1</v>
      </c>
      <c r="E20" s="74"/>
      <c r="F20" s="74"/>
      <c r="G20" s="74"/>
      <c r="H20" s="74"/>
      <c r="I20" s="109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</row>
    <row r="21" spans="1:27" x14ac:dyDescent="0.25">
      <c r="A21" s="107"/>
      <c r="B21" s="113" t="s">
        <v>12</v>
      </c>
      <c r="C21" s="108" t="s">
        <v>2</v>
      </c>
      <c r="D21" s="114">
        <v>0</v>
      </c>
      <c r="E21" s="74"/>
      <c r="F21" s="74"/>
      <c r="G21" s="74"/>
      <c r="H21" s="74"/>
      <c r="I21" s="109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</row>
    <row r="22" spans="1:27" x14ac:dyDescent="0.25">
      <c r="A22" s="107"/>
      <c r="B22" s="113"/>
      <c r="C22" s="115"/>
      <c r="D22" s="114"/>
      <c r="E22" s="74"/>
      <c r="F22" s="74"/>
      <c r="G22" s="74"/>
      <c r="H22" s="74"/>
      <c r="I22" s="109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</row>
    <row r="23" spans="1:27" ht="15.75" thickBot="1" x14ac:dyDescent="0.3">
      <c r="A23" s="107"/>
      <c r="B23" s="111" t="s">
        <v>20</v>
      </c>
      <c r="C23" s="74"/>
      <c r="D23" s="74"/>
      <c r="E23" s="74"/>
      <c r="F23" s="74"/>
      <c r="G23" s="74"/>
      <c r="H23" s="74"/>
      <c r="I23" s="109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</row>
    <row r="24" spans="1:27" x14ac:dyDescent="0.25">
      <c r="A24" s="107"/>
      <c r="B24" s="113" t="s">
        <v>21</v>
      </c>
      <c r="C24" s="113"/>
      <c r="D24" s="74"/>
      <c r="E24" s="74"/>
      <c r="F24" s="74"/>
      <c r="G24" s="74"/>
      <c r="H24" s="74"/>
      <c r="I24" s="109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</row>
    <row r="25" spans="1:27" x14ac:dyDescent="0.25">
      <c r="A25" s="107"/>
      <c r="B25" s="113" t="s">
        <v>22</v>
      </c>
      <c r="C25" s="113"/>
      <c r="D25" s="74"/>
      <c r="E25" s="74"/>
      <c r="F25" s="74"/>
      <c r="G25" s="74"/>
      <c r="H25" s="74"/>
      <c r="I25" s="109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</row>
    <row r="26" spans="1:27" x14ac:dyDescent="0.25">
      <c r="A26" s="107"/>
      <c r="B26" s="113" t="s">
        <v>23</v>
      </c>
      <c r="C26" s="113"/>
      <c r="D26" s="74"/>
      <c r="E26" s="74"/>
      <c r="F26" s="74"/>
      <c r="G26" s="74"/>
      <c r="H26" s="74"/>
      <c r="I26" s="109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</row>
    <row r="27" spans="1:27" x14ac:dyDescent="0.25">
      <c r="A27" s="107"/>
      <c r="B27" s="113" t="s">
        <v>24</v>
      </c>
      <c r="C27" s="113"/>
      <c r="D27" s="74"/>
      <c r="E27" s="74"/>
      <c r="F27" s="74"/>
      <c r="G27" s="74"/>
      <c r="H27" s="74"/>
      <c r="I27" s="109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</row>
    <row r="28" spans="1:27" x14ac:dyDescent="0.25">
      <c r="A28" s="107"/>
      <c r="B28" s="113" t="s">
        <v>44</v>
      </c>
      <c r="C28" s="113"/>
      <c r="D28" s="74"/>
      <c r="E28" s="74"/>
      <c r="F28" s="74"/>
      <c r="G28" s="74"/>
      <c r="H28" s="74"/>
      <c r="I28" s="109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</row>
    <row r="29" spans="1:27" x14ac:dyDescent="0.25">
      <c r="A29" s="107"/>
      <c r="B29" s="113" t="s">
        <v>45</v>
      </c>
      <c r="C29" s="74"/>
      <c r="D29" s="74"/>
      <c r="E29" s="74"/>
      <c r="F29" s="74"/>
      <c r="G29" s="74"/>
      <c r="H29" s="74"/>
      <c r="I29" s="109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</row>
    <row r="30" spans="1:27" x14ac:dyDescent="0.25">
      <c r="A30" s="107"/>
      <c r="B30" s="113" t="s">
        <v>46</v>
      </c>
      <c r="C30" s="74"/>
      <c r="D30" s="74"/>
      <c r="E30" s="74"/>
      <c r="F30" s="74"/>
      <c r="G30" s="74"/>
      <c r="H30" s="74"/>
      <c r="I30" s="109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</row>
    <row r="31" spans="1:27" ht="15.75" thickBot="1" x14ac:dyDescent="0.3">
      <c r="A31" s="116"/>
      <c r="B31" s="117"/>
      <c r="C31" s="118"/>
      <c r="D31" s="117"/>
      <c r="E31" s="117"/>
      <c r="F31" s="117"/>
      <c r="G31" s="117"/>
      <c r="H31" s="117"/>
      <c r="I31" s="119"/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</row>
    <row r="32" spans="1:27" x14ac:dyDescent="0.25">
      <c r="A32" s="65"/>
      <c r="B32" s="65"/>
      <c r="C32" s="66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</row>
    <row r="33" spans="1:27" x14ac:dyDescent="0.25">
      <c r="A33" s="65"/>
      <c r="B33" s="65"/>
      <c r="C33" s="66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</row>
    <row r="34" spans="1:27" x14ac:dyDescent="0.25">
      <c r="A34" s="65"/>
      <c r="B34" s="65"/>
      <c r="C34" s="66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</row>
    <row r="35" spans="1:27" x14ac:dyDescent="0.25">
      <c r="A35" s="65"/>
      <c r="B35" s="65"/>
      <c r="C35" s="66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</row>
    <row r="36" spans="1:27" x14ac:dyDescent="0.25">
      <c r="A36" s="65"/>
      <c r="B36" s="65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</row>
    <row r="37" spans="1:27" x14ac:dyDescent="0.25">
      <c r="A37" s="65"/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</row>
    <row r="38" spans="1:27" x14ac:dyDescent="0.25">
      <c r="A38" s="65"/>
      <c r="B38" s="65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</row>
    <row r="39" spans="1:27" x14ac:dyDescent="0.25">
      <c r="A39" s="65"/>
      <c r="B39" s="65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</row>
    <row r="40" spans="1:27" x14ac:dyDescent="0.25">
      <c r="A40" s="65"/>
      <c r="B40" s="65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</row>
    <row r="41" spans="1:27" x14ac:dyDescent="0.25">
      <c r="A41" s="65"/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</row>
    <row r="42" spans="1:27" x14ac:dyDescent="0.25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</row>
  </sheetData>
  <sheetProtection password="E163" sheet="1" objects="1" scenarios="1"/>
  <conditionalFormatting sqref="D11:E13">
    <cfRule type="expression" dxfId="58" priority="12">
      <formula>$D$7&gt;=6</formula>
    </cfRule>
  </conditionalFormatting>
  <conditionalFormatting sqref="B9:E13">
    <cfRule type="expression" dxfId="57" priority="13">
      <formula>$D$7&lt;=5</formula>
    </cfRule>
  </conditionalFormatting>
  <conditionalFormatting sqref="B8:E8">
    <cfRule type="expression" dxfId="56" priority="15">
      <formula>$D$7&lt;&gt;5</formula>
    </cfRule>
  </conditionalFormatting>
  <conditionalFormatting sqref="D10:E10">
    <cfRule type="expression" dxfId="55" priority="8">
      <formula>$D$7&gt;=6</formula>
    </cfRule>
  </conditionalFormatting>
  <conditionalFormatting sqref="E10">
    <cfRule type="expression" dxfId="54" priority="7">
      <formula>$D$7&gt;=6</formula>
    </cfRule>
  </conditionalFormatting>
  <conditionalFormatting sqref="B13:D13">
    <cfRule type="expression" dxfId="53" priority="3">
      <formula>$D$7=7</formula>
    </cfRule>
    <cfRule type="expression" dxfId="52" priority="4">
      <formula>$D$7&gt;6</formula>
    </cfRule>
  </conditionalFormatting>
  <conditionalFormatting sqref="B8:E13">
    <cfRule type="expression" dxfId="51" priority="5">
      <formula>$D$7&lt;=4</formula>
    </cfRule>
    <cfRule type="expression" dxfId="50" priority="6">
      <formula>$D$7&gt;=12</formula>
    </cfRule>
  </conditionalFormatting>
  <dataValidations count="1">
    <dataValidation type="list" allowBlank="1" showInputMessage="1" showErrorMessage="1" sqref="D13">
      <formula1>"DA, NE"</formula1>
    </dataValidation>
  </dataValidations>
  <pageMargins left="0.25" right="0.25" top="0.75" bottom="0.75" header="0.3" footer="0.3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1033" r:id="rId4" name="CommandButton1">
          <controlPr defaultSize="0" disabled="1" autoLine="0" r:id="rId5">
            <anchor moveWithCells="1">
              <from>
                <xdr:col>3</xdr:col>
                <xdr:colOff>114300</xdr:colOff>
                <xdr:row>23</xdr:row>
                <xdr:rowOff>19050</xdr:rowOff>
              </from>
              <to>
                <xdr:col>6</xdr:col>
                <xdr:colOff>295275</xdr:colOff>
                <xdr:row>24</xdr:row>
                <xdr:rowOff>180975</xdr:rowOff>
              </to>
            </anchor>
          </controlPr>
        </control>
      </mc:Choice>
      <mc:Fallback>
        <control shapeId="1033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4" tint="-0.249977111117893"/>
  </sheetPr>
  <dimension ref="A1:G26"/>
  <sheetViews>
    <sheetView showGridLines="0" workbookViewId="0">
      <selection activeCell="E12" sqref="E12"/>
    </sheetView>
  </sheetViews>
  <sheetFormatPr defaultRowHeight="15" x14ac:dyDescent="0.25"/>
  <cols>
    <col min="1" max="1" width="6.7109375" style="65" customWidth="1"/>
    <col min="2" max="3" width="18.42578125" style="65" customWidth="1"/>
    <col min="4" max="4" width="3.5703125" style="65" customWidth="1"/>
    <col min="5" max="6" width="18.42578125" style="65" customWidth="1"/>
    <col min="7" max="16384" width="9.140625" style="65"/>
  </cols>
  <sheetData>
    <row r="1" spans="1:7" x14ac:dyDescent="0.25">
      <c r="A1" s="103"/>
      <c r="B1" s="105"/>
      <c r="C1" s="105"/>
      <c r="D1" s="105"/>
      <c r="E1" s="105"/>
      <c r="F1" s="105"/>
      <c r="G1" s="106"/>
    </row>
    <row r="2" spans="1:7" x14ac:dyDescent="0.25">
      <c r="A2" s="107"/>
      <c r="B2" s="127" t="str">
        <f>IF(Informacije!$D$7&gt;=6,"Grupa A","")</f>
        <v/>
      </c>
      <c r="C2" s="127"/>
      <c r="D2" s="74"/>
      <c r="E2" s="128" t="str">
        <f>IF(Informacije!$D$7&gt;=6,"Grupa B","")</f>
        <v/>
      </c>
      <c r="F2" s="128"/>
      <c r="G2" s="109"/>
    </row>
    <row r="3" spans="1:7" x14ac:dyDescent="0.25">
      <c r="A3" s="107"/>
      <c r="B3" s="100" t="str">
        <f>IF(Informacije!$D$7&gt;=6,"Igrac","")</f>
        <v/>
      </c>
      <c r="C3" s="100" t="str">
        <f>IF(Informacije!$D$7&gt;=6,"Tim","")</f>
        <v/>
      </c>
      <c r="D3" s="74"/>
      <c r="E3" s="101" t="str">
        <f>IF(Informacije!$D$7&gt;=6,"Igrac","")</f>
        <v/>
      </c>
      <c r="F3" s="101" t="str">
        <f>IF(Informacije!$D$7&gt;=6,"Tim","")</f>
        <v/>
      </c>
      <c r="G3" s="109"/>
    </row>
    <row r="4" spans="1:7" x14ac:dyDescent="0.25">
      <c r="A4" s="107"/>
      <c r="B4" s="74" t="str">
        <f>IF(Draw!$F$3=1,Draw!$C$3,IF(Draw!$F$4=1,Draw!$C$4,IF(Draw!$F$5=1,Draw!$C$5,IF(Draw!$F$6=1,Draw!$C$6,IF(Draw!$F$7=1,Draw!$C$7,IF(Draw!$F$8=1,Draw!$C$8,IF(Draw!$F$9=1,Draw!$C$9,IF(Draw!$F$10=1,Draw!$C$10,IF(Draw!$F$11=1,Draw!$C$11,IF(Draw!$F$12=1,Draw!$C$12,IF(Draw!$F$13=1,Draw!$C$13,"")))))))))))</f>
        <v/>
      </c>
      <c r="C4" s="96" t="str">
        <f>IF(Draw!$F$3=1,Draw!$D$3,IF(Draw!$F$4=1,Draw!$D$4,IF(Draw!$F$5=1,Draw!$D$5,IF(Draw!$F$6=1,Draw!$D$6,IF(Draw!$F$7=1,Draw!$D$7,IF(Draw!$F$8=1,Draw!$D$8,IF(Draw!$F$9=1,Draw!$D$9,IF(Draw!$F$10=1,Draw!$D$10,IF(Draw!$F$11=1,Draw!$D$11,IF(Draw!$F$12=1,Draw!$D$12,IF(Draw!$F$13=1,Draw!$D$13,"")))))))))))</f>
        <v/>
      </c>
      <c r="D4" s="74"/>
      <c r="E4" s="74" t="str">
        <f>IF(Draw!$F$3=4,Draw!$C$3,IF(Draw!$F$4=4,Draw!$C$4,IF(Draw!$F$5=4,Draw!$C$5,IF(Draw!$F$6=4,Draw!$C$6,IF(Draw!$F$7=4,Draw!$C$7,IF(Draw!$F$8=4,Draw!$C$8,IF(Draw!$F$9=4,Draw!$C$9,IF(Draw!$F$10=4,Draw!$C$10,IF(Draw!$F$11=4,Draw!$C$11,IF(Draw!$F$12=4,Draw!$C$12,IF(Draw!$F$13=4,Draw!$C$13,"")))))))))))</f>
        <v/>
      </c>
      <c r="F4" s="97" t="str">
        <f>IF(Draw!$F$3=4,Draw!$D$3,IF(Draw!$F$4=4,Draw!$D$4,IF(Draw!$F$5=4,Draw!$D$5,IF(Draw!$F$6=4,Draw!$D$6,IF(Draw!$F$7=4,Draw!$D$7,IF(Draw!$F$8=4,Draw!$D$8,IF(Draw!$F$9=4,Draw!$D$9,IF(Draw!$F$10=4,Draw!$D$10,IF(Draw!$F$11=4,Draw!$D$11,IF(Draw!$F$12=4,Draw!$D$12,IF(Draw!$F$13=4,Draw!$D$13,"")))))))))))</f>
        <v/>
      </c>
      <c r="G4" s="109"/>
    </row>
    <row r="5" spans="1:7" x14ac:dyDescent="0.25">
      <c r="A5" s="107"/>
      <c r="B5" s="74" t="str">
        <f>IF(Draw!$F$3=2,Draw!$C$3,IF(Draw!$F$4=2,Draw!$C$4,IF(Draw!$F$5=2,Draw!$C$5,IF(Draw!$F$6=2,Draw!$C$6,IF(Draw!$F$7=2,Draw!$C$7,IF(Draw!$F$8=2,Draw!$C$8,IF(Draw!$F$9=2,Draw!$C$9,IF(Draw!$F$10=2,Draw!$C$10,IF(Draw!$F$11=2,Draw!$C$11,IF(Draw!$F$12=2,Draw!$C$12,IF(Draw!$F$13=2,Draw!$C$13,"")))))))))))</f>
        <v/>
      </c>
      <c r="C5" s="96" t="str">
        <f>IF(Draw!$F$3=2,Draw!$D$3,IF(Draw!$F$4=2,Draw!$D$4,IF(Draw!$F$5=2,Draw!$D$5,IF(Draw!$F$6=2,Draw!$D$6,IF(Draw!$F$7=2,Draw!$D$7,IF(Draw!$F$8=2,Draw!$D$8,IF(Draw!$F$9=2,Draw!$D$9,IF(Draw!$F$10=2,Draw!$D$10,IF(Draw!$F$11=2,Draw!$D$11,IF(Draw!$F$12=2,Draw!$D$12,IF(Draw!$F$13=2,Draw!$D$13,"")))))))))))</f>
        <v/>
      </c>
      <c r="D5" s="74"/>
      <c r="E5" s="74" t="str">
        <f>IF(Draw!$F$3=5,Draw!$C$3,IF(Draw!$F$4=5,Draw!$C$4,IF(Draw!$F$5=5,Draw!$C$5,IF(Draw!$F$6=5,Draw!$C$6,IF(Draw!$F$7=5,Draw!$C$7,IF(Draw!$F$8=5,Draw!$C$8,IF(Draw!$F$9=5,Draw!$C$9,IF(Draw!$F$10=5,Draw!$C$10,IF(Draw!$F$11=5,Draw!$C$11,IF(Draw!$F$12=5,Draw!$C$12,IF(Draw!$F$13=5,Draw!$C$13,"")))))))))))</f>
        <v/>
      </c>
      <c r="F5" s="97" t="str">
        <f>IF(Draw!$F$3=5,Draw!$D$3,IF(Draw!$F$4=5,Draw!$D$4,IF(Draw!$F$5=5,Draw!$D$5,IF(Draw!$F$6=5,Draw!$D$6,IF(Draw!$F$7=5,Draw!$D$7,IF(Draw!$F$8=5,Draw!$D$8,IF(Draw!$F$9=5,Draw!$D$9,IF(Draw!$F$10=5,Draw!$D$10,IF(Draw!$F$11=5,Draw!$D$11,IF(Draw!$F$12=5,Draw!$D$12,IF(Draw!$F$13=5,Draw!$D$13,"")))))))))))</f>
        <v/>
      </c>
      <c r="G5" s="109"/>
    </row>
    <row r="6" spans="1:7" x14ac:dyDescent="0.25">
      <c r="A6" s="107"/>
      <c r="B6" s="74" t="str">
        <f>IF(Draw!$F$3=3,Draw!$C$3,IF(Draw!$F$4=3,Draw!$C$4,IF(Draw!$F$5=3,Draw!$C$5,IF(Draw!$F$6=3,Draw!$C$6,IF(Draw!$F$7=3,Draw!$C$7,IF(Draw!$F$8=3,Draw!$C$8,IF(Draw!$F$9=3,Draw!$C$9,IF(Draw!$F$10=3,Draw!$C$10,IF(Draw!$F$11=3,Draw!$C$11,IF(Draw!$F$12=3,Draw!$C$12,IF(Draw!$F$13=3,Draw!$C$13,"")))))))))))</f>
        <v/>
      </c>
      <c r="C6" s="96" t="str">
        <f>IF(Draw!$F$3=3,Draw!$D$3,IF(Draw!$F$4=3,Draw!$D$4,IF(Draw!$F$5=3,Draw!$D$5,IF(Draw!$F$6=3,Draw!$D$6,IF(Draw!$F$7=3,Draw!$D$7,IF(Draw!$F$8=3,Draw!$D$8,IF(Draw!$F$9=3,Draw!$D$9,IF(Draw!$F$10=3,Draw!$D$10,IF(Draw!$F$11=3,Draw!$D$11,IF(Draw!$F$12=3,Draw!$D$12,IF(Draw!$F$13=3,Draw!$D$13,"")))))))))))</f>
        <v/>
      </c>
      <c r="D6" s="74"/>
      <c r="E6" s="74" t="str">
        <f>IF(Draw!$F$3=6,Draw!$C$3,IF(Draw!$F$4=6,Draw!$C$4,IF(Draw!$F$5=6,Draw!$C$5,IF(Draw!$F$6=6,Draw!$C$6,IF(Draw!$F$7=6,Draw!$C$7,IF(Draw!$F$8=6,Draw!$C$8,IF(Draw!$F$9=6,Draw!$C$9,IF(Draw!$F$10=6,Draw!$C$10,IF(Draw!$F$11=6,Draw!$C$11,IF(Draw!$F$12=6,Draw!$C$12,IF(Draw!$F$13=6,Draw!$C$13,"")))))))))))</f>
        <v/>
      </c>
      <c r="F6" s="97" t="str">
        <f>IF(Draw!$F$3=6,Draw!$D$3,IF(Draw!$F$4=6,Draw!$D$4,IF(Draw!$F$5=6,Draw!$D$5,IF(Draw!$F$6=6,Draw!$D$6,IF(Draw!$F$7=6,Draw!$D$7,IF(Draw!$F$8=6,Draw!$D$8,IF(Draw!$F$9=6,Draw!$D$9,IF(Draw!$F$10=6,Draw!$D$10,IF(Draw!$F$11=6,Draw!$D$11,IF(Draw!$F$12=6,Draw!$D$12,IF(Draw!$F$13=6,Draw!$D$13,"")))))))))))</f>
        <v/>
      </c>
      <c r="G6" s="109"/>
    </row>
    <row r="7" spans="1:7" x14ac:dyDescent="0.25">
      <c r="A7" s="107"/>
      <c r="B7" s="74" t="str">
        <f>IF(Draw!$F$3=7,Draw!$C$3,IF(Draw!$F$4=7,Draw!$C$4,IF(Draw!$F$5=7,Draw!$C$5,IF(Draw!$F$6=7,Draw!$C$6,IF(Draw!$F$7=7,Draw!$C$7,IF(Draw!$F$8=7,Draw!$C$8,IF(Draw!$F$9=7,Draw!$C$9,IF(Draw!$F$10=7,Draw!$C$10,IF(Draw!$F$11=7,Draw!$C$11,IF(Draw!$F$12=7,Draw!$C$12,IF(Draw!$F$13=7,Draw!$C$13,"")))))))))))</f>
        <v/>
      </c>
      <c r="C7" s="96" t="str">
        <f>IF(Draw!$F$3=7,Draw!$D$3,IF(Draw!$F$4=7,Draw!$D$4,IF(Draw!$F$5=7,Draw!$D$5,IF(Draw!$F$6=7,Draw!$D$6,IF(Draw!$F$7=7,Draw!$D$7,IF(Draw!$F$8=7,Draw!$D$8,IF(Draw!$F$9=7,Draw!$D$9,IF(Draw!$F$10=7,Draw!$D$10,IF(Draw!$F$11=7,Draw!$D$11,IF(Draw!$F$12=7,Draw!$D$12,IF(Draw!$F$13=7,Draw!$D$13,"")))))))))))</f>
        <v/>
      </c>
      <c r="D7" s="74"/>
      <c r="E7" s="74" t="str">
        <f>IF(Draw!$F$3=8,Draw!$C$3,IF(Draw!$F$4=8,Draw!$C$4,IF(Draw!$F$5=8,Draw!$C$5,IF(Draw!$F$6=8,Draw!$C$6,IF(Draw!$F$7=8,Draw!$C$7,IF(Draw!$F$8=8,Draw!$C$8,IF(Draw!$F$9=8,Draw!$C$9,IF(Draw!$F$10=8,Draw!$C$10,IF(Draw!$F$11=8,Draw!$C$11,IF(Draw!$F$12=8,Draw!$C$12,IF(Draw!$F$13=8,Draw!$C$13,"")))))))))))</f>
        <v/>
      </c>
      <c r="F7" s="97" t="str">
        <f>IF(Draw!$F$3=8,Draw!$D$3,IF(Draw!$F$4=8,Draw!$D$4,IF(Draw!$F$5=8,Draw!$D$5,IF(Draw!$F$6=8,Draw!$D$6,IF(Draw!$F$7=8,Draw!$D$7,IF(Draw!$F$8=8,Draw!$D$8,IF(Draw!$F$9=8,Draw!$D$9,IF(Draw!$F$10=8,Draw!$D$10,IF(Draw!$F$11=8,Draw!$D$11,IF(Draw!$F$12=8,Draw!$D$12,IF(Draw!$F$13=8,Draw!$D$13,"")))))))))))</f>
        <v/>
      </c>
      <c r="G7" s="109"/>
    </row>
    <row r="8" spans="1:7" x14ac:dyDescent="0.25">
      <c r="A8" s="107"/>
      <c r="B8" s="74" t="str">
        <f>IF(Draw!$F$3=9,Draw!$C$3,IF(Draw!$F$4=9,Draw!$C$4,IF(Draw!$F$5=9,Draw!$C$5,IF(Draw!$F$6=9,Draw!$C$6,IF(Draw!$F$7=9,Draw!$C$7,IF(Draw!$F$8=9,Draw!$C$8,IF(Draw!$F$9=9,Draw!$C$9,IF(Draw!$F$10=9,Draw!$C$10,IF(Draw!$F$11=9,Draw!$C$11,IF(Draw!$F$12=9,Draw!$C$12,IF(Draw!$F$13=9,Draw!$C$13,"")))))))))))</f>
        <v/>
      </c>
      <c r="C8" s="96" t="str">
        <f>IF(Draw!$F$3=9,Draw!$D$3,IF(Draw!$F$4=9,Draw!$D$4,IF(Draw!$F$5=9,Draw!$D$5,IF(Draw!$F$6=9,Draw!$D$6,IF(Draw!$F$7=9,Draw!$D$7,IF(Draw!$F$8=9,Draw!$D$8,IF(Draw!$F$9=9,Draw!$D$9,IF(Draw!$F$10=9,Draw!$D$10,IF(Draw!$F$11=9,Draw!$D$11,IF(Draw!$F$12=9,Draw!$D$12,IF(Draw!$F$13=9,Draw!$D$13,"")))))))))))</f>
        <v/>
      </c>
      <c r="D8" s="74"/>
      <c r="E8" s="74" t="str">
        <f>IF(Draw!$F$3=10,Draw!$C$3,IF(Draw!$F$4=10,Draw!$C$4,IF(Draw!$F$5=10,Draw!$C$5,IF(Draw!$F$6=10,Draw!$C$6,IF(Draw!$F$7=10,Draw!$C$7,IF(Draw!$F$8=10,Draw!$C$8,IF(Draw!$F$9=10,Draw!$C$9,IF(Draw!$F$10=10,Draw!$C$10,IF(Draw!$F$11=10,Draw!$C$11,IF(Draw!$F$12=10,Draw!$C$12,IF(Draw!$F$13=10,Draw!$C$13,"")))))))))))</f>
        <v/>
      </c>
      <c r="F8" s="97" t="str">
        <f>IF(Draw!$F$3=10,Draw!$D$3,IF(Draw!$F$4=10,Draw!$D$4,IF(Draw!$F$5=10,Draw!$D$5,IF(Draw!$F$6=10,Draw!$D$6,IF(Draw!$F$7=10,Draw!$D$7,IF(Draw!$F$8=10,Draw!$D$8,IF(Draw!$F$9=10,Draw!$D$9,IF(Draw!$F$10=10,Draw!$D$10,IF(Draw!$F$11=10,Draw!$D$11,IF(Draw!$F$12=10,Draw!$D$12,IF(Draw!$F$13=10,Draw!$D$13,"")))))))))))</f>
        <v/>
      </c>
      <c r="G8" s="109"/>
    </row>
    <row r="9" spans="1:7" x14ac:dyDescent="0.25">
      <c r="A9" s="107"/>
      <c r="B9" s="74" t="str">
        <f>IF(Draw!$F$3=11,Draw!$C$3,IF(Draw!$F$4=11,Draw!$C$4,IF(Draw!$F$5=11,Draw!$C$5,IF(Draw!$F$6=11,Draw!$C$6,IF(Draw!$F$7=11,Draw!$C$7,IF(Draw!$F$8=11,Draw!$C$8,IF(Draw!$F$9=11,Draw!$C$9,IF(Draw!$F$10=11,Draw!$C$10,IF(Draw!$F$11=11,Draw!$C$11,IF(Draw!$F$12=11,Draw!$C$12,IF(Draw!$F$13=11,Draw!$C$13,"")))))))))))</f>
        <v/>
      </c>
      <c r="C9" s="96" t="str">
        <f>IF(Draw!$F$3=11,Draw!$D$3,IF(Draw!$F$4=11,Draw!$D$4,IF(Draw!$F$5=11,Draw!$D$5,IF(Draw!$F$6=11,Draw!$D$6,IF(Draw!$F$7=11,Draw!$D$7,IF(Draw!$F$8=11,Draw!$D$8,IF(Draw!$F$9=11,Draw!$D$9,IF(Draw!$F$10=11,Draw!$D$10,IF(Draw!$F$11=11,Draw!$D$11,IF(Draw!$F$12=11,Draw!$D$12,IF(Draw!$F$13=11,Draw!$D$13,"")))))))))))</f>
        <v/>
      </c>
      <c r="D9" s="74"/>
      <c r="E9" s="74"/>
      <c r="F9" s="74"/>
      <c r="G9" s="109"/>
    </row>
    <row r="10" spans="1:7" x14ac:dyDescent="0.25">
      <c r="A10" s="107"/>
      <c r="B10" s="129" t="str">
        <f>IF(Informacije!$D$7=5,"Liga","")</f>
        <v/>
      </c>
      <c r="C10" s="129"/>
      <c r="D10" s="74"/>
      <c r="E10" s="74"/>
      <c r="F10" s="74"/>
      <c r="G10" s="109"/>
    </row>
    <row r="11" spans="1:7" x14ac:dyDescent="0.25">
      <c r="A11" s="107"/>
      <c r="B11" s="102" t="str">
        <f>IF(Informacije!$D$7=5,"Igrac","")</f>
        <v/>
      </c>
      <c r="C11" s="102" t="str">
        <f>IF(Informacije!$D$7=5,"Tim","")</f>
        <v/>
      </c>
      <c r="D11" s="74"/>
      <c r="E11" s="120"/>
      <c r="F11" s="74"/>
      <c r="G11" s="109"/>
    </row>
    <row r="12" spans="1:7" x14ac:dyDescent="0.25">
      <c r="A12" s="107"/>
      <c r="B12" s="98" t="str">
        <f>IF(Informacije!$D$7=5,Draw!$C$3,"")</f>
        <v/>
      </c>
      <c r="C12" s="99" t="str">
        <f>IF(Informacije!$D$7=5,Draw!$D$3,"")</f>
        <v/>
      </c>
      <c r="D12" s="74"/>
      <c r="E12" s="74"/>
      <c r="F12" s="74"/>
      <c r="G12" s="109"/>
    </row>
    <row r="13" spans="1:7" x14ac:dyDescent="0.25">
      <c r="A13" s="107"/>
      <c r="B13" s="98" t="str">
        <f>IF(Informacije!$D$7=5,Draw!$C$4,"")</f>
        <v/>
      </c>
      <c r="C13" s="99" t="str">
        <f>IF(Informacije!$D$7=5,Draw!$D$4,"")</f>
        <v/>
      </c>
      <c r="D13" s="74"/>
      <c r="E13" s="74"/>
      <c r="F13" s="74"/>
      <c r="G13" s="109"/>
    </row>
    <row r="14" spans="1:7" x14ac:dyDescent="0.25">
      <c r="A14" s="107"/>
      <c r="B14" s="98" t="str">
        <f>IF(Informacije!$D$7=5,Draw!$C$5,"")</f>
        <v/>
      </c>
      <c r="C14" s="99" t="str">
        <f>IF(Informacije!$D$7=5,Draw!$D$5,"")</f>
        <v/>
      </c>
      <c r="D14" s="74"/>
      <c r="E14" s="74"/>
      <c r="F14" s="74"/>
      <c r="G14" s="109"/>
    </row>
    <row r="15" spans="1:7" x14ac:dyDescent="0.25">
      <c r="A15" s="107"/>
      <c r="B15" s="98" t="str">
        <f>IF(Informacije!$D$7=5,Draw!$C$6,"")</f>
        <v/>
      </c>
      <c r="C15" s="99" t="str">
        <f>IF(Informacije!$D$7=5,Draw!$D$6,"")</f>
        <v/>
      </c>
      <c r="D15" s="74"/>
      <c r="E15" s="74"/>
      <c r="F15" s="74"/>
      <c r="G15" s="109"/>
    </row>
    <row r="16" spans="1:7" x14ac:dyDescent="0.25">
      <c r="A16" s="107"/>
      <c r="B16" s="98" t="str">
        <f>IF(Informacije!$D$7=5,Draw!$C$7,"")</f>
        <v/>
      </c>
      <c r="C16" s="99" t="str">
        <f>IF(Informacije!$D$7=5,Draw!$D$7,"")</f>
        <v/>
      </c>
      <c r="D16" s="74"/>
      <c r="E16" s="74"/>
      <c r="F16" s="74"/>
      <c r="G16" s="109"/>
    </row>
    <row r="17" spans="1:7" x14ac:dyDescent="0.25">
      <c r="A17" s="107"/>
      <c r="B17" s="74"/>
      <c r="C17" s="74"/>
      <c r="D17" s="74"/>
      <c r="E17" s="74"/>
      <c r="F17" s="74"/>
      <c r="G17" s="109"/>
    </row>
    <row r="18" spans="1:7" x14ac:dyDescent="0.25">
      <c r="A18" s="107"/>
      <c r="B18" s="74"/>
      <c r="C18" s="74"/>
      <c r="D18" s="74"/>
      <c r="E18" s="74"/>
      <c r="F18" s="74"/>
      <c r="G18" s="109"/>
    </row>
    <row r="19" spans="1:7" x14ac:dyDescent="0.25">
      <c r="A19" s="107"/>
      <c r="B19" s="74"/>
      <c r="C19" s="74"/>
      <c r="D19" s="74"/>
      <c r="E19" s="74"/>
      <c r="F19" s="74"/>
      <c r="G19" s="109"/>
    </row>
    <row r="20" spans="1:7" x14ac:dyDescent="0.25">
      <c r="A20" s="107"/>
      <c r="B20" s="74"/>
      <c r="C20" s="74"/>
      <c r="D20" s="74"/>
      <c r="E20" s="74"/>
      <c r="F20" s="74"/>
      <c r="G20" s="109"/>
    </row>
    <row r="21" spans="1:7" x14ac:dyDescent="0.25">
      <c r="A21" s="107"/>
      <c r="B21" s="74"/>
      <c r="C21" s="74"/>
      <c r="D21" s="74"/>
      <c r="E21" s="74"/>
      <c r="F21" s="74"/>
      <c r="G21" s="109"/>
    </row>
    <row r="22" spans="1:7" x14ac:dyDescent="0.25">
      <c r="A22" s="107"/>
      <c r="B22" s="74"/>
      <c r="C22" s="74"/>
      <c r="D22" s="74"/>
      <c r="E22" s="74"/>
      <c r="F22" s="74"/>
      <c r="G22" s="109"/>
    </row>
    <row r="23" spans="1:7" x14ac:dyDescent="0.25">
      <c r="A23" s="107"/>
      <c r="B23" s="74"/>
      <c r="C23" s="74"/>
      <c r="D23" s="74"/>
      <c r="E23" s="74"/>
      <c r="F23" s="74"/>
      <c r="G23" s="109"/>
    </row>
    <row r="24" spans="1:7" x14ac:dyDescent="0.25">
      <c r="A24" s="107"/>
      <c r="B24" s="74"/>
      <c r="C24" s="74"/>
      <c r="D24" s="74"/>
      <c r="E24" s="74"/>
      <c r="F24" s="74"/>
      <c r="G24" s="109"/>
    </row>
    <row r="25" spans="1:7" x14ac:dyDescent="0.25">
      <c r="A25" s="107"/>
      <c r="B25" s="74"/>
      <c r="C25" s="74"/>
      <c r="D25" s="74"/>
      <c r="E25" s="74"/>
      <c r="F25" s="74"/>
      <c r="G25" s="109"/>
    </row>
    <row r="26" spans="1:7" ht="15.75" thickBot="1" x14ac:dyDescent="0.3">
      <c r="A26" s="116"/>
      <c r="B26" s="117"/>
      <c r="C26" s="117"/>
      <c r="D26" s="117"/>
      <c r="E26" s="117"/>
      <c r="F26" s="117"/>
      <c r="G26" s="119"/>
    </row>
  </sheetData>
  <sheetProtection password="E163" sheet="1" objects="1" scenarios="1"/>
  <mergeCells count="3">
    <mergeCell ref="B2:C2"/>
    <mergeCell ref="E2:F2"/>
    <mergeCell ref="B10:C10"/>
  </mergeCells>
  <pageMargins left="0.25" right="0.25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CommandButton1">
          <controlPr defaultSize="0" autoLine="0" r:id="rId5">
            <anchor moveWithCells="1">
              <from>
                <xdr:col>3</xdr:col>
                <xdr:colOff>133350</xdr:colOff>
                <xdr:row>19</xdr:row>
                <xdr:rowOff>171450</xdr:rowOff>
              </from>
              <to>
                <xdr:col>5</xdr:col>
                <xdr:colOff>942975</xdr:colOff>
                <xdr:row>21</xdr:row>
                <xdr:rowOff>180975</xdr:rowOff>
              </to>
            </anchor>
          </controlPr>
        </control>
      </mc:Choice>
      <mc:Fallback>
        <control shapeId="5124" r:id="rId4" name="CommandButton1"/>
      </mc:Fallback>
    </mc:AlternateContent>
    <mc:AlternateContent xmlns:mc="http://schemas.openxmlformats.org/markup-compatibility/2006">
      <mc:Choice Requires="x14">
        <control shapeId="5123" r:id="rId6" name="CommandButton2">
          <controlPr defaultSize="0" autoLine="0" r:id="rId7">
            <anchor moveWithCells="1">
              <from>
                <xdr:col>3</xdr:col>
                <xdr:colOff>142875</xdr:colOff>
                <xdr:row>22</xdr:row>
                <xdr:rowOff>66675</xdr:rowOff>
              </from>
              <to>
                <xdr:col>5</xdr:col>
                <xdr:colOff>952500</xdr:colOff>
                <xdr:row>24</xdr:row>
                <xdr:rowOff>28575</xdr:rowOff>
              </to>
            </anchor>
          </controlPr>
        </control>
      </mc:Choice>
      <mc:Fallback>
        <control shapeId="5123" r:id="rId6" name="CommandButton2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A9FDA952-C7B5-4117-AAEF-240DDA4E3D8E}">
            <xm:f>Informacije!$D$7=11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expression" priority="11" id="{6549625A-1129-4071-98BA-829C084B8855}">
            <xm:f>Informacije!$D$7=11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B2:C9 E2:F8</xm:sqref>
        </x14:conditionalFormatting>
        <x14:conditionalFormatting xmlns:xm="http://schemas.microsoft.com/office/excel/2006/main">
          <x14:cfRule type="expression" priority="10" id="{FB4A2909-6EE3-4661-A2DB-69D97D8B97B7}">
            <xm:f>Informacije!$D$7=5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B2:C3 E2:F3</xm:sqref>
        </x14:conditionalFormatting>
        <x14:conditionalFormatting xmlns:xm="http://schemas.microsoft.com/office/excel/2006/main">
          <x14:cfRule type="expression" priority="9" id="{FDCD7DA7-1251-43B3-9655-8CE20CA30D2A}">
            <xm:f>Informacije!$D$7&gt;=6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B10:C11</xm:sqref>
        </x14:conditionalFormatting>
        <x14:conditionalFormatting xmlns:xm="http://schemas.microsoft.com/office/excel/2006/main">
          <x14:cfRule type="expression" priority="8" id="{94501AE9-0B71-46C5-91A6-4F09D389E37C}">
            <xm:f>Informacije!$D$7=5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B10:C16</xm:sqref>
        </x14:conditionalFormatting>
        <x14:conditionalFormatting xmlns:xm="http://schemas.microsoft.com/office/excel/2006/main">
          <x14:cfRule type="expression" priority="7" id="{2D4CF03B-EFAD-489F-873B-BFE1420CA4FE}">
            <xm:f>Informacije!$D$7=6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B2:C6 E2:F6</xm:sqref>
        </x14:conditionalFormatting>
        <x14:conditionalFormatting xmlns:xm="http://schemas.microsoft.com/office/excel/2006/main">
          <x14:cfRule type="expression" priority="6" id="{EDF4774D-A8B3-45A6-8A85-06B29BA0917A}">
            <xm:f>Informacije!$D$7=7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B2:C7 E2:F6</xm:sqref>
        </x14:conditionalFormatting>
        <x14:conditionalFormatting xmlns:xm="http://schemas.microsoft.com/office/excel/2006/main">
          <x14:cfRule type="expression" priority="5" id="{0BB3D1EB-44EF-4A33-926A-246BCF39B4FC}">
            <xm:f>Informacije!$D$7=8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B2:C7 E2:F7</xm:sqref>
        </x14:conditionalFormatting>
        <x14:conditionalFormatting xmlns:xm="http://schemas.microsoft.com/office/excel/2006/main">
          <x14:cfRule type="expression" priority="4" id="{48A1F5A7-FB84-4F5E-8C9C-DC0E2408E5F8}">
            <xm:f>Informacije!$D$7=9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B2:C8 E2:F7</xm:sqref>
        </x14:conditionalFormatting>
        <x14:conditionalFormatting xmlns:xm="http://schemas.microsoft.com/office/excel/2006/main">
          <x14:cfRule type="expression" priority="3" id="{F7D33B34-EB20-49DB-9FF7-2C1FA1BCA6CC}">
            <xm:f>Informacije!$D$7=10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B2:C8 E2:F8</xm:sqref>
        </x14:conditionalFormatting>
        <x14:conditionalFormatting xmlns:xm="http://schemas.microsoft.com/office/excel/2006/main">
          <x14:cfRule type="expression" priority="1" id="{5323B479-DC2C-4C1C-B2B5-C619FE86B760}">
            <xm:f>Informacije!$D$7&gt;=6</xm:f>
            <x14:dxf>
              <font>
                <color theme="0"/>
              </font>
              <fill>
                <patternFill>
                  <bgColor theme="0"/>
                </patternFill>
              </fill>
            </x14:dxf>
          </x14:cfRule>
          <xm:sqref>B12:C16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/>
  </sheetPr>
  <dimension ref="A1:FQ325"/>
  <sheetViews>
    <sheetView showGridLines="0" workbookViewId="0">
      <selection activeCell="O16" sqref="N7:O16"/>
    </sheetView>
  </sheetViews>
  <sheetFormatPr defaultRowHeight="15" x14ac:dyDescent="0.25"/>
  <cols>
    <col min="1" max="1" width="7.7109375" style="65" bestFit="1" customWidth="1"/>
    <col min="2" max="2" width="25.140625" style="65" bestFit="1" customWidth="1"/>
    <col min="3" max="10" width="6.7109375" style="65" customWidth="1"/>
    <col min="11" max="11" width="9.140625" style="65"/>
    <col min="12" max="12" width="3.85546875" style="65" bestFit="1" customWidth="1"/>
    <col min="13" max="13" width="25.140625" style="51" bestFit="1" customWidth="1"/>
    <col min="14" max="15" width="4.7109375" style="51" customWidth="1"/>
    <col min="16" max="16" width="25.140625" style="65" bestFit="1" customWidth="1"/>
    <col min="17" max="17" width="3.140625" style="65" customWidth="1"/>
    <col min="18" max="18" width="18.140625" style="51" customWidth="1"/>
    <col min="19" max="20" width="4.7109375" style="51" customWidth="1"/>
    <col min="21" max="21" width="18.140625" style="51" customWidth="1"/>
    <col min="22" max="173" width="9.140625" style="65"/>
    <col min="174" max="16384" width="9.140625" style="51"/>
  </cols>
  <sheetData>
    <row r="1" spans="1:21" s="65" customFormat="1" x14ac:dyDescent="0.25"/>
    <row r="2" spans="1:21" s="65" customFormat="1" x14ac:dyDescent="0.25"/>
    <row r="3" spans="1:21" s="65" customFormat="1" x14ac:dyDescent="0.25"/>
    <row r="4" spans="1:21" s="65" customFormat="1" x14ac:dyDescent="0.25"/>
    <row r="5" spans="1:21" s="65" customFormat="1" ht="22.5" x14ac:dyDescent="0.25">
      <c r="A5" s="131" t="s">
        <v>35</v>
      </c>
      <c r="B5" s="131"/>
      <c r="C5" s="131"/>
      <c r="D5" s="131"/>
      <c r="E5" s="131"/>
      <c r="F5" s="131"/>
      <c r="G5" s="131"/>
      <c r="H5" s="131"/>
      <c r="I5" s="131"/>
      <c r="J5" s="131"/>
    </row>
    <row r="6" spans="1:21" s="65" customFormat="1" x14ac:dyDescent="0.25">
      <c r="A6" s="75" t="s">
        <v>25</v>
      </c>
      <c r="B6" s="75" t="s">
        <v>26</v>
      </c>
      <c r="C6" s="75" t="s">
        <v>27</v>
      </c>
      <c r="D6" s="75" t="s">
        <v>28</v>
      </c>
      <c r="E6" s="75" t="s">
        <v>29</v>
      </c>
      <c r="F6" s="75" t="s">
        <v>30</v>
      </c>
      <c r="G6" s="75" t="s">
        <v>31</v>
      </c>
      <c r="H6" s="75" t="s">
        <v>32</v>
      </c>
      <c r="I6" s="75" t="s">
        <v>33</v>
      </c>
      <c r="J6" s="75" t="s">
        <v>34</v>
      </c>
      <c r="L6" s="75" t="s">
        <v>36</v>
      </c>
      <c r="M6" s="75" t="s">
        <v>37</v>
      </c>
      <c r="N6" s="130" t="s">
        <v>38</v>
      </c>
      <c r="O6" s="130"/>
      <c r="P6" s="75" t="s">
        <v>39</v>
      </c>
      <c r="R6" s="130" t="s">
        <v>40</v>
      </c>
      <c r="S6" s="130"/>
      <c r="T6" s="130"/>
      <c r="U6" s="130"/>
    </row>
    <row r="7" spans="1:21" x14ac:dyDescent="0.25">
      <c r="A7" s="84">
        <f ca="1">OFFSET('Rangiranje Liga'!$AB$3,MATCH(SMALL('Rangiranje Liga'!$B$3:$B$8,ROW()-ROW(A$7)+1),'Rangiranje Liga'!$B$3:$B$8,0)-1,0)</f>
        <v>1</v>
      </c>
      <c r="B7" s="84" t="str">
        <f ca="1">OFFSET('Rangiranje Liga'!A$3,MATCH(SMALL('Rangiranje Liga'!B$3:B$8,ROW()-ROW(B$7)+1),'Rangiranje Liga'!B$3:B$8,0)-1,0)</f>
        <v>0 ()</v>
      </c>
      <c r="C7" s="84">
        <f ca="1">IF($A7&lt;&gt;"",VLOOKUP($B7,'Rangiranje Liga'!$A$3:$Z$8,COLUMN(),FALSE),"")</f>
        <v>0</v>
      </c>
      <c r="D7" s="84">
        <f ca="1">IF($A7&lt;&gt;"",VLOOKUP($B7,'Rangiranje Liga'!$A$3:$Z$8,COLUMN(),FALSE),"")</f>
        <v>0</v>
      </c>
      <c r="E7" s="84">
        <f ca="1">IF($A7&lt;&gt;"",VLOOKUP($B7,'Rangiranje Liga'!$A$3:$Z$8,COLUMN(),FALSE),"")</f>
        <v>0</v>
      </c>
      <c r="F7" s="84">
        <f ca="1">IF($A7&lt;&gt;"",VLOOKUP($B7,'Rangiranje Liga'!$A$3:$Z$8,COLUMN(),FALSE),"")</f>
        <v>0</v>
      </c>
      <c r="G7" s="84">
        <f ca="1">IF($A7&lt;&gt;"",VLOOKUP($B7,'Rangiranje Liga'!$A$3:$Z$8,COLUMN(),FALSE),"")</f>
        <v>0</v>
      </c>
      <c r="H7" s="84">
        <f ca="1">IF($A7&lt;&gt;"",VLOOKUP($B7,'Rangiranje Liga'!$A$3:$Z$8,COLUMN(),FALSE),"")</f>
        <v>0</v>
      </c>
      <c r="I7" s="84">
        <f ca="1">IF($A7&lt;&gt;"",VLOOKUP($B7,'Rangiranje Liga'!$A$3:$Z$8,COLUMN(),FALSE),"")</f>
        <v>0</v>
      </c>
      <c r="J7" s="84">
        <f ca="1">IF($A7&lt;&gt;"",VLOOKUP($B7,'Rangiranje Liga'!$A$3:$Z$8,COLUMN(),FALSE),"")</f>
        <v>0</v>
      </c>
      <c r="L7" s="75">
        <f>IF(Informacije!$D$11&gt;=3,1,"")</f>
        <v>1</v>
      </c>
      <c r="M7" s="88" t="str">
        <f ca="1">IF(L7&lt;&gt;"",VLOOKUP(L7,'Utakmice Liga'!$C$10:$F$99,3,FALSE),"")</f>
        <v xml:space="preserve"> ()</v>
      </c>
      <c r="N7" s="58"/>
      <c r="O7" s="59"/>
      <c r="P7" s="88" t="str">
        <f ca="1">IF(L7&lt;&gt;"",VLOOKUP(L7,'Utakmice Liga'!$C$10:$F$99,4,FALSE),"")</f>
        <v xml:space="preserve"> ()</v>
      </c>
      <c r="R7" s="60"/>
      <c r="S7" s="75" t="str">
        <f>IF(S8="","",SUM(S8:S9))</f>
        <v/>
      </c>
      <c r="T7" s="75" t="str">
        <f>IF(T8="","",SUM(T8:T10))</f>
        <v/>
      </c>
      <c r="U7" s="60"/>
    </row>
    <row r="8" spans="1:21" x14ac:dyDescent="0.25">
      <c r="A8" s="85">
        <f ca="1">OFFSET('Rangiranje Liga'!$AB$3,MATCH(SMALL('Rangiranje Liga'!$B$3:$B$8,ROW()-ROW(A$7)+1),'Rangiranje Liga'!$B$3:$B$8,0)-1,0)</f>
        <v>1</v>
      </c>
      <c r="B8" s="85" t="str">
        <f ca="1">OFFSET('Rangiranje Liga'!A$3,MATCH(SMALL('Rangiranje Liga'!B$3:B$8,ROW()-ROW(B$7)+1),'Rangiranje Liga'!B$3:B$8,0)-1,0)</f>
        <v>0 ()</v>
      </c>
      <c r="C8" s="85">
        <f ca="1">IF($A8&lt;&gt;"",VLOOKUP($B7,'Rangiranje Liga'!$A$3:$Z$8,COLUMN(),FALSE),"")</f>
        <v>0</v>
      </c>
      <c r="D8" s="85">
        <f ca="1">IF($A8&lt;&gt;"",VLOOKUP($B8,'Rangiranje Liga'!$A$3:$Z$8,COLUMN(),FALSE),"")</f>
        <v>0</v>
      </c>
      <c r="E8" s="85">
        <f ca="1">IF($A8&lt;&gt;"",VLOOKUP($B8,'Rangiranje Liga'!$A$3:$Z$8,COLUMN(),FALSE),"")</f>
        <v>0</v>
      </c>
      <c r="F8" s="85">
        <f ca="1">IF($A8&lt;&gt;"",VLOOKUP($B8,'Rangiranje Liga'!$A$3:$Z$8,COLUMN(),FALSE),"")</f>
        <v>0</v>
      </c>
      <c r="G8" s="85">
        <f ca="1">IF($A8&lt;&gt;"",VLOOKUP($B8,'Rangiranje Liga'!$A$3:$Z$8,COLUMN(),FALSE),"")</f>
        <v>0</v>
      </c>
      <c r="H8" s="85">
        <f ca="1">IF($A8&lt;&gt;"",VLOOKUP($B8,'Rangiranje Liga'!$A$3:$Z$8,COLUMN(),FALSE),"")</f>
        <v>0</v>
      </c>
      <c r="I8" s="85">
        <f ca="1">IF($A8&lt;&gt;"",VLOOKUP($B8,'Rangiranje Liga'!$A$3:$Z$8,COLUMN(),FALSE),"")</f>
        <v>0</v>
      </c>
      <c r="J8" s="85">
        <f ca="1">IF($A8&lt;&gt;"",VLOOKUP($B8,'Rangiranje Liga'!$A$3:$Z$8,COLUMN(),FALSE),"")</f>
        <v>0</v>
      </c>
      <c r="L8" s="75">
        <f ca="1">IF(OR(L7='Utakmice Liga'!$C$99,L7=""),"",L7+1)</f>
        <v>2</v>
      </c>
      <c r="M8" s="88" t="str">
        <f ca="1">IF(L8&lt;&gt;"",VLOOKUP(L8,'Utakmice Liga'!$C$10:$F$99,3,FALSE),"")</f>
        <v xml:space="preserve"> ()</v>
      </c>
      <c r="N8" s="58"/>
      <c r="O8" s="59"/>
      <c r="P8" s="88" t="str">
        <f ca="1">IF(L8&lt;&gt;"",VLOOKUP(L8,'Utakmice Liga'!$C$10:$F$99,4,FALSE),"")</f>
        <v xml:space="preserve"> ()</v>
      </c>
      <c r="R8" s="76" t="s">
        <v>41</v>
      </c>
      <c r="S8" s="57"/>
      <c r="T8" s="57"/>
      <c r="U8" s="65"/>
    </row>
    <row r="9" spans="1:21" x14ac:dyDescent="0.25">
      <c r="A9" s="85">
        <f ca="1">OFFSET('Rangiranje Liga'!$AB$3,MATCH(SMALL('Rangiranje Liga'!$B$3:$B$8,ROW()-ROW(A$7)+1),'Rangiranje Liga'!$B$3:$B$8,0)-1,0)</f>
        <v>1</v>
      </c>
      <c r="B9" s="85" t="str">
        <f ca="1">OFFSET('Rangiranje Liga'!A$3,MATCH(SMALL('Rangiranje Liga'!B$3:B$8,ROW()-ROW(B$7)+1),'Rangiranje Liga'!B$3:B$8,0)-1,0)</f>
        <v>0 ()</v>
      </c>
      <c r="C9" s="85">
        <f ca="1">IF($A9&lt;&gt;"",VLOOKUP($B8,'Rangiranje Liga'!$A$3:$Z$8,COLUMN(),FALSE),"")</f>
        <v>0</v>
      </c>
      <c r="D9" s="85">
        <f ca="1">IF($A9&lt;&gt;"",VLOOKUP($B9,'Rangiranje Liga'!$A$3:$Z$8,COLUMN(),FALSE),"")</f>
        <v>0</v>
      </c>
      <c r="E9" s="85">
        <f ca="1">IF($A9&lt;&gt;"",VLOOKUP($B9,'Rangiranje Liga'!$A$3:$Z$8,COLUMN(),FALSE),"")</f>
        <v>0</v>
      </c>
      <c r="F9" s="85">
        <f ca="1">IF($A9&lt;&gt;"",VLOOKUP($B9,'Rangiranje Liga'!$A$3:$Z$8,COLUMN(),FALSE),"")</f>
        <v>0</v>
      </c>
      <c r="G9" s="85">
        <f ca="1">IF($A9&lt;&gt;"",VLOOKUP($B9,'Rangiranje Liga'!$A$3:$Z$8,COLUMN(),FALSE),"")</f>
        <v>0</v>
      </c>
      <c r="H9" s="85">
        <f ca="1">IF($A9&lt;&gt;"",VLOOKUP($B9,'Rangiranje Liga'!$A$3:$Z$8,COLUMN(),FALSE),"")</f>
        <v>0</v>
      </c>
      <c r="I9" s="85">
        <f ca="1">IF($A9&lt;&gt;"",VLOOKUP($B9,'Rangiranje Liga'!$A$3:$Z$8,COLUMN(),FALSE),"")</f>
        <v>0</v>
      </c>
      <c r="J9" s="85">
        <f ca="1">IF($A9&lt;&gt;"",VLOOKUP($B9,'Rangiranje Liga'!$A$3:$Z$8,COLUMN(),FALSE),"")</f>
        <v>0</v>
      </c>
      <c r="L9" s="75">
        <f ca="1">IF(OR(L8='Utakmice Liga'!$C$99,L8=""),"",L8+1)</f>
        <v>3</v>
      </c>
      <c r="M9" s="88" t="str">
        <f ca="1">IF(L9&lt;&gt;"",VLOOKUP(L9,'Utakmice Liga'!$C$10:$F$99,3,FALSE),"")</f>
        <v xml:space="preserve"> ()</v>
      </c>
      <c r="N9" s="58"/>
      <c r="O9" s="59"/>
      <c r="P9" s="88" t="str">
        <f ca="1">IF(L9&lt;&gt;"",VLOOKUP(L9,'Utakmice Liga'!$C$10:$F$99,4,FALSE),"")</f>
        <v xml:space="preserve"> ()</v>
      </c>
      <c r="R9" s="76" t="s">
        <v>42</v>
      </c>
      <c r="S9" s="57"/>
      <c r="T9" s="57"/>
      <c r="U9" s="65"/>
    </row>
    <row r="10" spans="1:21" x14ac:dyDescent="0.25">
      <c r="A10" s="85">
        <f ca="1">OFFSET('Rangiranje Liga'!$AB$3,MATCH(SMALL('Rangiranje Liga'!$B$3:$B$8,ROW()-ROW(A$7)+1),'Rangiranje Liga'!$B$3:$B$8,0)-1,0)</f>
        <v>1</v>
      </c>
      <c r="B10" s="85" t="str">
        <f ca="1">OFFSET('Rangiranje Liga'!A$3,MATCH(SMALL('Rangiranje Liga'!B$3:B$8,ROW()-ROW(B$7)+1),'Rangiranje Liga'!B$3:B$8,0)-1,0)</f>
        <v>0 ()</v>
      </c>
      <c r="C10" s="85">
        <f ca="1">IF($A10&lt;&gt;"",VLOOKUP($B9,'Rangiranje Liga'!$A$3:$Z$8,COLUMN(),FALSE),"")</f>
        <v>0</v>
      </c>
      <c r="D10" s="85">
        <f ca="1">IF($A10&lt;&gt;"",VLOOKUP($B10,'Rangiranje Liga'!$A$3:$Z$8,COLUMN(),FALSE),"")</f>
        <v>0</v>
      </c>
      <c r="E10" s="85">
        <f ca="1">IF($A10&lt;&gt;"",VLOOKUP($B10,'Rangiranje Liga'!$A$3:$Z$8,COLUMN(),FALSE),"")</f>
        <v>0</v>
      </c>
      <c r="F10" s="85">
        <f ca="1">IF($A10&lt;&gt;"",VLOOKUP($B10,'Rangiranje Liga'!$A$3:$Z$8,COLUMN(),FALSE),"")</f>
        <v>0</v>
      </c>
      <c r="G10" s="85">
        <f ca="1">IF($A10&lt;&gt;"",VLOOKUP($B10,'Rangiranje Liga'!$A$3:$Z$8,COLUMN(),FALSE),"")</f>
        <v>0</v>
      </c>
      <c r="H10" s="85">
        <f ca="1">IF($A10&lt;&gt;"",VLOOKUP($B10,'Rangiranje Liga'!$A$3:$Z$8,COLUMN(),FALSE),"")</f>
        <v>0</v>
      </c>
      <c r="I10" s="85">
        <f ca="1">IF($A10&lt;&gt;"",VLOOKUP($B10,'Rangiranje Liga'!$A$3:$Z$8,COLUMN(),FALSE),"")</f>
        <v>0</v>
      </c>
      <c r="J10" s="85">
        <f ca="1">IF($A10&lt;&gt;"",VLOOKUP($B10,'Rangiranje Liga'!$A$3:$Z$8,COLUMN(),FALSE),"")</f>
        <v>0</v>
      </c>
      <c r="L10" s="75">
        <f ca="1">IF(OR(L9='Utakmice Liga'!$C$99,L9=""),"",L9+1)</f>
        <v>4</v>
      </c>
      <c r="M10" s="88" t="str">
        <f ca="1">IF(L10&lt;&gt;"",VLOOKUP(L10,'Utakmice Liga'!$C$10:$F$99,3,FALSE),"")</f>
        <v xml:space="preserve"> ()</v>
      </c>
      <c r="N10" s="58"/>
      <c r="O10" s="59"/>
      <c r="P10" s="88" t="str">
        <f ca="1">IF(L10&lt;&gt;"",VLOOKUP(L10,'Utakmice Liga'!$C$10:$F$99,4,FALSE),"")</f>
        <v xml:space="preserve"> ()</v>
      </c>
      <c r="R10" s="77" t="s">
        <v>43</v>
      </c>
      <c r="S10" s="60"/>
      <c r="T10" s="60"/>
      <c r="U10" s="65"/>
    </row>
    <row r="11" spans="1:21" x14ac:dyDescent="0.25">
      <c r="A11" s="85">
        <f ca="1">OFFSET('Rangiranje Liga'!$AB$3,MATCH(SMALL('Rangiranje Liga'!$B$3:$B$8,ROW()-ROW(A$7)+1),'Rangiranje Liga'!$B$3:$B$8,0)-1,0)</f>
        <v>1</v>
      </c>
      <c r="B11" s="85" t="str">
        <f ca="1">OFFSET('Rangiranje Liga'!A$3,MATCH(SMALL('Rangiranje Liga'!B$3:B$8,ROW()-ROW(B$7)+1),'Rangiranje Liga'!B$3:B$8,0)-1,0)</f>
        <v>0 ()</v>
      </c>
      <c r="C11" s="85">
        <f ca="1">IF($A11&lt;&gt;"",VLOOKUP($B10,'Rangiranje Liga'!$A$3:$Z$8,COLUMN(),FALSE),"")</f>
        <v>0</v>
      </c>
      <c r="D11" s="85">
        <f ca="1">IF($A11&lt;&gt;"",VLOOKUP($B11,'Rangiranje Liga'!$A$3:$Z$8,COLUMN(),FALSE),"")</f>
        <v>0</v>
      </c>
      <c r="E11" s="85">
        <f ca="1">IF($A11&lt;&gt;"",VLOOKUP($B11,'Rangiranje Liga'!$A$3:$Z$8,COLUMN(),FALSE),"")</f>
        <v>0</v>
      </c>
      <c r="F11" s="85">
        <f ca="1">IF($A11&lt;&gt;"",VLOOKUP($B11,'Rangiranje Liga'!$A$3:$Z$8,COLUMN(),FALSE),"")</f>
        <v>0</v>
      </c>
      <c r="G11" s="85">
        <f ca="1">IF($A11&lt;&gt;"",VLOOKUP($B11,'Rangiranje Liga'!$A$3:$Z$8,COLUMN(),FALSE),"")</f>
        <v>0</v>
      </c>
      <c r="H11" s="85">
        <f ca="1">IF($A11&lt;&gt;"",VLOOKUP($B11,'Rangiranje Liga'!$A$3:$Z$8,COLUMN(),FALSE),"")</f>
        <v>0</v>
      </c>
      <c r="I11" s="85">
        <f ca="1">IF($A11&lt;&gt;"",VLOOKUP($B11,'Rangiranje Liga'!$A$3:$Z$8,COLUMN(),FALSE),"")</f>
        <v>0</v>
      </c>
      <c r="J11" s="85">
        <f ca="1">IF($A11&lt;&gt;"",VLOOKUP($B11,'Rangiranje Liga'!$A$3:$Z$8,COLUMN(),FALSE),"")</f>
        <v>0</v>
      </c>
      <c r="L11" s="75">
        <f ca="1">IF(OR(L10='Utakmice Liga'!$C$99,L10=""),"",L10+1)</f>
        <v>5</v>
      </c>
      <c r="M11" s="88" t="str">
        <f ca="1">IF(L11&lt;&gt;"",VLOOKUP(L11,'Utakmice Liga'!$C$10:$F$99,3,FALSE),"")</f>
        <v xml:space="preserve"> ()</v>
      </c>
      <c r="N11" s="58"/>
      <c r="O11" s="59"/>
      <c r="P11" s="88" t="str">
        <f ca="1">IF(L11&lt;&gt;"",VLOOKUP(L11,'Utakmice Liga'!$C$10:$F$99,4,FALSE),"")</f>
        <v xml:space="preserve"> ()</v>
      </c>
      <c r="R11" s="65"/>
      <c r="S11" s="65"/>
      <c r="T11" s="65"/>
      <c r="U11" s="65"/>
    </row>
    <row r="12" spans="1:21" x14ac:dyDescent="0.25">
      <c r="L12" s="75">
        <f ca="1">IF(OR(L11='Utakmice Liga'!$C$99,L11=""),"",L11+1)</f>
        <v>6</v>
      </c>
      <c r="M12" s="88" t="str">
        <f ca="1">IF(L12&lt;&gt;"",VLOOKUP(L12,'Utakmice Liga'!$C$10:$F$99,3,FALSE),"")</f>
        <v xml:space="preserve"> ()</v>
      </c>
      <c r="N12" s="58"/>
      <c r="O12" s="59"/>
      <c r="P12" s="88" t="str">
        <f ca="1">IF(L12&lt;&gt;"",VLOOKUP(L12,'Utakmice Liga'!$C$10:$F$99,4,FALSE),"")</f>
        <v xml:space="preserve"> ()</v>
      </c>
      <c r="R12" s="130" t="s">
        <v>40</v>
      </c>
      <c r="S12" s="130"/>
      <c r="T12" s="130"/>
      <c r="U12" s="130"/>
    </row>
    <row r="13" spans="1:21" x14ac:dyDescent="0.25">
      <c r="L13" s="75">
        <f ca="1">IF(OR(L12='Utakmice Liga'!$C$99,L12=""),"",L12+1)</f>
        <v>7</v>
      </c>
      <c r="M13" s="88" t="str">
        <f ca="1">IF(L13&lt;&gt;"",VLOOKUP(L13,'Utakmice Liga'!$C$10:$F$99,3,FALSE),"")</f>
        <v xml:space="preserve"> ()</v>
      </c>
      <c r="N13" s="58"/>
      <c r="O13" s="59"/>
      <c r="P13" s="88">
        <f ca="1">IF(L13&lt;&gt;"",VLOOKUP(L13,'Utakmice Liga'!$C$10:$F$99,4,FALSE),"")</f>
        <v>0</v>
      </c>
      <c r="R13" s="60"/>
      <c r="S13" s="75" t="str">
        <f>IF(S14="","",SUM(S14:S15))</f>
        <v/>
      </c>
      <c r="T13" s="75" t="str">
        <f>IF(T14="","",SUM(T14:T16))</f>
        <v/>
      </c>
      <c r="U13" s="60"/>
    </row>
    <row r="14" spans="1:21" x14ac:dyDescent="0.25">
      <c r="L14" s="75">
        <f ca="1">IF(OR(L13='Utakmice Liga'!$C$99,L13=""),"",L13+1)</f>
        <v>8</v>
      </c>
      <c r="M14" s="88" t="str">
        <f ca="1">IF(L14&lt;&gt;"",VLOOKUP(L14,'Utakmice Liga'!$C$10:$F$99,3,FALSE),"")</f>
        <v xml:space="preserve"> ()</v>
      </c>
      <c r="N14" s="58"/>
      <c r="O14" s="59"/>
      <c r="P14" s="88" t="str">
        <f ca="1">IF(L14&lt;&gt;"",VLOOKUP(L14,'Utakmice Liga'!$C$10:$F$99,4,FALSE),"")</f>
        <v xml:space="preserve"> ()</v>
      </c>
      <c r="R14" s="76" t="s">
        <v>41</v>
      </c>
      <c r="S14" s="57"/>
      <c r="T14" s="57"/>
      <c r="U14" s="65"/>
    </row>
    <row r="15" spans="1:21" x14ac:dyDescent="0.25">
      <c r="L15" s="75">
        <f ca="1">IF(OR(L14='Utakmice Liga'!$C$99,L14=""),"",L14+1)</f>
        <v>9</v>
      </c>
      <c r="M15" s="88" t="str">
        <f ca="1">IF(L15&lt;&gt;"",VLOOKUP(L15,'Utakmice Liga'!$C$10:$F$99,3,FALSE),"")</f>
        <v xml:space="preserve"> ()</v>
      </c>
      <c r="N15" s="58"/>
      <c r="O15" s="59"/>
      <c r="P15" s="88" t="str">
        <f ca="1">IF(L15&lt;&gt;"",VLOOKUP(L15,'Utakmice Liga'!$C$10:$F$99,4,FALSE),"")</f>
        <v xml:space="preserve"> ()</v>
      </c>
      <c r="R15" s="76" t="s">
        <v>42</v>
      </c>
      <c r="S15" s="57"/>
      <c r="T15" s="57"/>
      <c r="U15" s="65"/>
    </row>
    <row r="16" spans="1:21" x14ac:dyDescent="0.25">
      <c r="L16" s="75">
        <f ca="1">IF(OR(L15='Utakmice Liga'!$C$99,L15=""),"",L15+1)</f>
        <v>10</v>
      </c>
      <c r="M16" s="88">
        <f ca="1">IF(L16&lt;&gt;"",VLOOKUP(L16,'Utakmice Liga'!$C$10:$F$99,3,FALSE),"")</f>
        <v>0</v>
      </c>
      <c r="N16" s="58"/>
      <c r="O16" s="59"/>
      <c r="P16" s="88" t="str">
        <f ca="1">IF(L16&lt;&gt;"",VLOOKUP(L16,'Utakmice Liga'!$C$10:$F$99,4,FALSE),"")</f>
        <v xml:space="preserve"> ()</v>
      </c>
      <c r="R16" s="77" t="s">
        <v>43</v>
      </c>
      <c r="S16" s="60"/>
      <c r="T16" s="60"/>
      <c r="U16" s="65"/>
    </row>
    <row r="17" spans="12:21" x14ac:dyDescent="0.25">
      <c r="L17" s="86"/>
      <c r="M17" s="89"/>
      <c r="N17" s="132"/>
      <c r="O17" s="132"/>
      <c r="P17" s="89"/>
      <c r="R17" s="65"/>
      <c r="S17" s="65"/>
      <c r="T17" s="65"/>
      <c r="U17" s="65"/>
    </row>
    <row r="18" spans="12:21" x14ac:dyDescent="0.25">
      <c r="L18" s="87"/>
      <c r="M18" s="74"/>
      <c r="N18" s="65"/>
      <c r="O18" s="65"/>
      <c r="R18" s="130" t="s">
        <v>40</v>
      </c>
      <c r="S18" s="130"/>
      <c r="T18" s="130"/>
      <c r="U18" s="130"/>
    </row>
    <row r="19" spans="12:21" x14ac:dyDescent="0.25">
      <c r="L19" s="87"/>
      <c r="M19" s="74"/>
      <c r="N19" s="65"/>
      <c r="O19" s="65"/>
      <c r="R19" s="60"/>
      <c r="S19" s="75" t="str">
        <f>IF(S20="","",SUM(S20:S21))</f>
        <v/>
      </c>
      <c r="T19" s="75" t="str">
        <f>IF(T20="","",SUM(T20:T22))</f>
        <v/>
      </c>
      <c r="U19" s="60"/>
    </row>
    <row r="20" spans="12:21" x14ac:dyDescent="0.25">
      <c r="L20" s="87"/>
      <c r="M20" s="74"/>
      <c r="N20" s="65"/>
      <c r="O20" s="65"/>
      <c r="R20" s="76" t="s">
        <v>41</v>
      </c>
      <c r="S20" s="57"/>
      <c r="T20" s="57"/>
      <c r="U20" s="65"/>
    </row>
    <row r="21" spans="12:21" x14ac:dyDescent="0.25">
      <c r="L21" s="87"/>
      <c r="M21" s="74"/>
      <c r="N21" s="65"/>
      <c r="O21" s="65"/>
      <c r="R21" s="76" t="s">
        <v>42</v>
      </c>
      <c r="S21" s="57"/>
      <c r="T21" s="57"/>
      <c r="U21" s="65"/>
    </row>
    <row r="22" spans="12:21" x14ac:dyDescent="0.25">
      <c r="L22" s="87"/>
      <c r="M22" s="74"/>
      <c r="N22" s="65"/>
      <c r="O22" s="65"/>
      <c r="R22" s="77" t="s">
        <v>43</v>
      </c>
      <c r="S22" s="60"/>
      <c r="T22" s="60"/>
      <c r="U22" s="65"/>
    </row>
    <row r="23" spans="12:21" s="65" customFormat="1" x14ac:dyDescent="0.25">
      <c r="L23" s="87"/>
      <c r="M23" s="74"/>
    </row>
    <row r="24" spans="12:21" s="65" customFormat="1" x14ac:dyDescent="0.25">
      <c r="L24" s="87"/>
      <c r="M24" s="74"/>
    </row>
    <row r="25" spans="12:21" s="65" customFormat="1" x14ac:dyDescent="0.25">
      <c r="L25" s="87"/>
      <c r="M25" s="74"/>
    </row>
    <row r="26" spans="12:21" s="65" customFormat="1" x14ac:dyDescent="0.25">
      <c r="L26" s="87"/>
      <c r="M26" s="74"/>
    </row>
    <row r="27" spans="12:21" s="65" customFormat="1" x14ac:dyDescent="0.25">
      <c r="L27" s="87"/>
    </row>
    <row r="28" spans="12:21" s="65" customFormat="1" x14ac:dyDescent="0.25"/>
    <row r="29" spans="12:21" s="65" customFormat="1" x14ac:dyDescent="0.25"/>
    <row r="30" spans="12:21" s="65" customFormat="1" x14ac:dyDescent="0.25"/>
    <row r="31" spans="12:21" s="65" customFormat="1" x14ac:dyDescent="0.25"/>
    <row r="32" spans="12:21" s="65" customFormat="1" x14ac:dyDescent="0.25"/>
    <row r="33" s="65" customFormat="1" x14ac:dyDescent="0.25"/>
    <row r="34" s="65" customFormat="1" x14ac:dyDescent="0.25"/>
    <row r="35" s="65" customFormat="1" x14ac:dyDescent="0.25"/>
    <row r="36" s="65" customFormat="1" x14ac:dyDescent="0.25"/>
    <row r="37" s="65" customFormat="1" x14ac:dyDescent="0.25"/>
    <row r="38" s="65" customFormat="1" x14ac:dyDescent="0.25"/>
    <row r="39" s="65" customFormat="1" x14ac:dyDescent="0.25"/>
    <row r="40" s="65" customFormat="1" x14ac:dyDescent="0.25"/>
    <row r="41" s="65" customFormat="1" x14ac:dyDescent="0.25"/>
    <row r="42" s="65" customFormat="1" x14ac:dyDescent="0.25"/>
    <row r="43" s="65" customFormat="1" x14ac:dyDescent="0.25"/>
    <row r="44" s="65" customFormat="1" x14ac:dyDescent="0.25"/>
    <row r="45" s="65" customFormat="1" x14ac:dyDescent="0.25"/>
    <row r="46" s="65" customFormat="1" x14ac:dyDescent="0.25"/>
    <row r="47" s="65" customFormat="1" x14ac:dyDescent="0.25"/>
    <row r="48" s="65" customFormat="1" x14ac:dyDescent="0.25"/>
    <row r="49" s="65" customFormat="1" x14ac:dyDescent="0.25"/>
    <row r="50" s="65" customFormat="1" x14ac:dyDescent="0.25"/>
    <row r="51" s="65" customFormat="1" x14ac:dyDescent="0.25"/>
    <row r="52" s="65" customFormat="1" x14ac:dyDescent="0.25"/>
    <row r="53" s="65" customFormat="1" x14ac:dyDescent="0.25"/>
    <row r="54" s="65" customFormat="1" x14ac:dyDescent="0.25"/>
    <row r="55" s="65" customFormat="1" x14ac:dyDescent="0.25"/>
    <row r="56" s="65" customFormat="1" x14ac:dyDescent="0.25"/>
    <row r="57" s="65" customFormat="1" x14ac:dyDescent="0.25"/>
    <row r="58" s="65" customFormat="1" x14ac:dyDescent="0.25"/>
    <row r="59" s="65" customFormat="1" x14ac:dyDescent="0.25"/>
    <row r="60" s="65" customFormat="1" x14ac:dyDescent="0.25"/>
    <row r="61" s="65" customFormat="1" x14ac:dyDescent="0.25"/>
    <row r="62" s="65" customFormat="1" x14ac:dyDescent="0.25"/>
    <row r="63" s="65" customFormat="1" x14ac:dyDescent="0.25"/>
    <row r="64" s="65" customFormat="1" x14ac:dyDescent="0.25"/>
    <row r="65" s="65" customFormat="1" x14ac:dyDescent="0.25"/>
    <row r="66" s="65" customFormat="1" x14ac:dyDescent="0.25"/>
    <row r="67" s="65" customFormat="1" x14ac:dyDescent="0.25"/>
    <row r="68" s="65" customFormat="1" x14ac:dyDescent="0.25"/>
    <row r="69" s="65" customFormat="1" x14ac:dyDescent="0.25"/>
    <row r="70" s="65" customFormat="1" x14ac:dyDescent="0.25"/>
    <row r="71" s="65" customFormat="1" x14ac:dyDescent="0.25"/>
    <row r="72" s="65" customFormat="1" x14ac:dyDescent="0.25"/>
    <row r="73" s="65" customFormat="1" x14ac:dyDescent="0.25"/>
    <row r="74" s="65" customFormat="1" x14ac:dyDescent="0.25"/>
    <row r="75" s="65" customFormat="1" x14ac:dyDescent="0.25"/>
    <row r="76" s="65" customFormat="1" x14ac:dyDescent="0.25"/>
    <row r="77" s="65" customFormat="1" x14ac:dyDescent="0.25"/>
    <row r="78" s="65" customFormat="1" x14ac:dyDescent="0.25"/>
    <row r="79" s="65" customFormat="1" x14ac:dyDescent="0.25"/>
    <row r="80" s="65" customFormat="1" x14ac:dyDescent="0.25"/>
    <row r="81" s="65" customFormat="1" x14ac:dyDescent="0.25"/>
    <row r="82" s="65" customFormat="1" x14ac:dyDescent="0.25"/>
    <row r="83" s="65" customFormat="1" x14ac:dyDescent="0.25"/>
    <row r="84" s="65" customFormat="1" x14ac:dyDescent="0.25"/>
    <row r="85" s="65" customFormat="1" x14ac:dyDescent="0.25"/>
    <row r="86" s="65" customFormat="1" x14ac:dyDescent="0.25"/>
    <row r="87" s="65" customFormat="1" x14ac:dyDescent="0.25"/>
    <row r="88" s="65" customFormat="1" x14ac:dyDescent="0.25"/>
    <row r="89" s="65" customFormat="1" x14ac:dyDescent="0.25"/>
    <row r="90" s="65" customFormat="1" x14ac:dyDescent="0.25"/>
    <row r="91" s="65" customFormat="1" x14ac:dyDescent="0.25"/>
    <row r="92" s="65" customFormat="1" x14ac:dyDescent="0.25"/>
    <row r="93" s="65" customFormat="1" x14ac:dyDescent="0.25"/>
    <row r="94" s="65" customFormat="1" x14ac:dyDescent="0.25"/>
    <row r="95" s="65" customFormat="1" x14ac:dyDescent="0.25"/>
    <row r="96" s="65" customFormat="1" x14ac:dyDescent="0.25"/>
    <row r="97" s="65" customFormat="1" x14ac:dyDescent="0.25"/>
    <row r="98" s="65" customFormat="1" x14ac:dyDescent="0.25"/>
    <row r="99" s="65" customFormat="1" x14ac:dyDescent="0.25"/>
    <row r="100" s="65" customFormat="1" x14ac:dyDescent="0.25"/>
    <row r="101" s="65" customFormat="1" x14ac:dyDescent="0.25"/>
    <row r="102" s="65" customFormat="1" x14ac:dyDescent="0.25"/>
    <row r="103" s="65" customFormat="1" x14ac:dyDescent="0.25"/>
    <row r="104" s="65" customFormat="1" x14ac:dyDescent="0.25"/>
    <row r="105" s="65" customFormat="1" x14ac:dyDescent="0.25"/>
    <row r="106" s="65" customFormat="1" x14ac:dyDescent="0.25"/>
    <row r="107" s="65" customFormat="1" x14ac:dyDescent="0.25"/>
    <row r="108" s="65" customFormat="1" x14ac:dyDescent="0.25"/>
    <row r="109" s="65" customFormat="1" x14ac:dyDescent="0.25"/>
    <row r="110" s="65" customFormat="1" x14ac:dyDescent="0.25"/>
    <row r="111" s="65" customFormat="1" x14ac:dyDescent="0.25"/>
    <row r="112" s="65" customFormat="1" x14ac:dyDescent="0.25"/>
    <row r="113" s="65" customFormat="1" x14ac:dyDescent="0.25"/>
    <row r="114" s="65" customFormat="1" x14ac:dyDescent="0.25"/>
    <row r="115" s="65" customFormat="1" x14ac:dyDescent="0.25"/>
    <row r="116" s="65" customFormat="1" x14ac:dyDescent="0.25"/>
    <row r="117" s="65" customFormat="1" x14ac:dyDescent="0.25"/>
    <row r="118" s="65" customFormat="1" x14ac:dyDescent="0.25"/>
    <row r="119" s="65" customFormat="1" x14ac:dyDescent="0.25"/>
    <row r="120" s="65" customFormat="1" x14ac:dyDescent="0.25"/>
    <row r="121" s="65" customFormat="1" x14ac:dyDescent="0.25"/>
    <row r="122" s="65" customFormat="1" x14ac:dyDescent="0.25"/>
    <row r="123" s="65" customFormat="1" x14ac:dyDescent="0.25"/>
    <row r="124" s="65" customFormat="1" x14ac:dyDescent="0.25"/>
    <row r="125" s="65" customFormat="1" x14ac:dyDescent="0.25"/>
    <row r="126" s="65" customFormat="1" x14ac:dyDescent="0.25"/>
    <row r="127" s="65" customFormat="1" x14ac:dyDescent="0.25"/>
    <row r="128" s="65" customFormat="1" x14ac:dyDescent="0.25"/>
    <row r="129" s="65" customFormat="1" x14ac:dyDescent="0.25"/>
    <row r="130" s="65" customFormat="1" x14ac:dyDescent="0.25"/>
    <row r="131" s="65" customFormat="1" x14ac:dyDescent="0.25"/>
    <row r="132" s="65" customFormat="1" x14ac:dyDescent="0.25"/>
    <row r="133" s="65" customFormat="1" x14ac:dyDescent="0.25"/>
    <row r="134" s="65" customFormat="1" x14ac:dyDescent="0.25"/>
    <row r="135" s="65" customFormat="1" x14ac:dyDescent="0.25"/>
    <row r="136" s="65" customFormat="1" x14ac:dyDescent="0.25"/>
    <row r="137" s="65" customFormat="1" x14ac:dyDescent="0.25"/>
    <row r="138" s="65" customFormat="1" x14ac:dyDescent="0.25"/>
    <row r="139" s="65" customFormat="1" x14ac:dyDescent="0.25"/>
    <row r="140" s="65" customFormat="1" x14ac:dyDescent="0.25"/>
    <row r="141" s="65" customFormat="1" x14ac:dyDescent="0.25"/>
    <row r="142" s="65" customFormat="1" x14ac:dyDescent="0.25"/>
    <row r="143" s="65" customFormat="1" x14ac:dyDescent="0.25"/>
    <row r="144" s="65" customFormat="1" x14ac:dyDescent="0.25"/>
    <row r="145" s="65" customFormat="1" x14ac:dyDescent="0.25"/>
    <row r="146" s="65" customFormat="1" x14ac:dyDescent="0.25"/>
    <row r="147" s="65" customFormat="1" x14ac:dyDescent="0.25"/>
    <row r="148" s="65" customFormat="1" x14ac:dyDescent="0.25"/>
    <row r="149" s="65" customFormat="1" x14ac:dyDescent="0.25"/>
    <row r="150" s="65" customFormat="1" x14ac:dyDescent="0.25"/>
    <row r="151" s="65" customFormat="1" x14ac:dyDescent="0.25"/>
    <row r="152" s="65" customFormat="1" x14ac:dyDescent="0.25"/>
    <row r="153" s="65" customFormat="1" x14ac:dyDescent="0.25"/>
    <row r="154" s="65" customFormat="1" x14ac:dyDescent="0.25"/>
    <row r="155" s="65" customFormat="1" x14ac:dyDescent="0.25"/>
    <row r="156" s="65" customFormat="1" x14ac:dyDescent="0.25"/>
    <row r="157" s="65" customFormat="1" x14ac:dyDescent="0.25"/>
    <row r="158" s="65" customFormat="1" x14ac:dyDescent="0.25"/>
    <row r="159" s="65" customFormat="1" x14ac:dyDescent="0.25"/>
    <row r="160" s="65" customFormat="1" x14ac:dyDescent="0.25"/>
    <row r="161" s="65" customFormat="1" x14ac:dyDescent="0.25"/>
    <row r="162" s="65" customFormat="1" x14ac:dyDescent="0.25"/>
    <row r="163" s="65" customFormat="1" x14ac:dyDescent="0.25"/>
    <row r="164" s="65" customFormat="1" x14ac:dyDescent="0.25"/>
    <row r="165" s="65" customFormat="1" x14ac:dyDescent="0.25"/>
    <row r="166" s="65" customFormat="1" x14ac:dyDescent="0.25"/>
    <row r="167" s="65" customFormat="1" x14ac:dyDescent="0.25"/>
    <row r="168" s="65" customFormat="1" x14ac:dyDescent="0.25"/>
    <row r="169" s="65" customFormat="1" x14ac:dyDescent="0.25"/>
    <row r="170" s="65" customFormat="1" x14ac:dyDescent="0.25"/>
    <row r="171" s="65" customFormat="1" x14ac:dyDescent="0.25"/>
    <row r="172" s="65" customFormat="1" x14ac:dyDescent="0.25"/>
    <row r="173" s="65" customFormat="1" x14ac:dyDescent="0.25"/>
    <row r="174" s="65" customFormat="1" x14ac:dyDescent="0.25"/>
    <row r="175" s="65" customFormat="1" x14ac:dyDescent="0.25"/>
    <row r="176" s="65" customFormat="1" x14ac:dyDescent="0.25"/>
    <row r="177" s="65" customFormat="1" x14ac:dyDescent="0.25"/>
    <row r="178" s="65" customFormat="1" x14ac:dyDescent="0.25"/>
    <row r="179" s="65" customFormat="1" x14ac:dyDescent="0.25"/>
    <row r="180" s="65" customFormat="1" x14ac:dyDescent="0.25"/>
    <row r="181" s="65" customFormat="1" x14ac:dyDescent="0.25"/>
    <row r="182" s="65" customFormat="1" x14ac:dyDescent="0.25"/>
    <row r="183" s="65" customFormat="1" x14ac:dyDescent="0.25"/>
    <row r="184" s="65" customFormat="1" x14ac:dyDescent="0.25"/>
    <row r="185" s="65" customFormat="1" x14ac:dyDescent="0.25"/>
    <row r="186" s="65" customFormat="1" x14ac:dyDescent="0.25"/>
    <row r="187" s="65" customFormat="1" x14ac:dyDescent="0.25"/>
    <row r="188" s="65" customFormat="1" x14ac:dyDescent="0.25"/>
    <row r="189" s="65" customFormat="1" x14ac:dyDescent="0.25"/>
    <row r="190" s="65" customFormat="1" x14ac:dyDescent="0.25"/>
    <row r="191" s="65" customFormat="1" x14ac:dyDescent="0.25"/>
    <row r="192" s="65" customFormat="1" x14ac:dyDescent="0.25"/>
    <row r="193" s="65" customFormat="1" x14ac:dyDescent="0.25"/>
    <row r="194" s="65" customFormat="1" x14ac:dyDescent="0.25"/>
    <row r="195" s="65" customFormat="1" x14ac:dyDescent="0.25"/>
    <row r="196" s="65" customFormat="1" x14ac:dyDescent="0.25"/>
    <row r="197" s="65" customFormat="1" x14ac:dyDescent="0.25"/>
    <row r="198" s="65" customFormat="1" x14ac:dyDescent="0.25"/>
    <row r="199" s="65" customFormat="1" x14ac:dyDescent="0.25"/>
    <row r="200" s="65" customFormat="1" x14ac:dyDescent="0.25"/>
    <row r="201" s="65" customFormat="1" x14ac:dyDescent="0.25"/>
    <row r="202" s="65" customFormat="1" x14ac:dyDescent="0.25"/>
    <row r="203" s="65" customFormat="1" x14ac:dyDescent="0.25"/>
    <row r="204" s="65" customFormat="1" x14ac:dyDescent="0.25"/>
    <row r="205" s="65" customFormat="1" x14ac:dyDescent="0.25"/>
    <row r="206" s="65" customFormat="1" x14ac:dyDescent="0.25"/>
    <row r="207" s="65" customFormat="1" x14ac:dyDescent="0.25"/>
    <row r="208" s="65" customFormat="1" x14ac:dyDescent="0.25"/>
    <row r="209" s="65" customFormat="1" x14ac:dyDescent="0.25"/>
    <row r="210" s="65" customFormat="1" x14ac:dyDescent="0.25"/>
    <row r="211" s="65" customFormat="1" x14ac:dyDescent="0.25"/>
    <row r="212" s="65" customFormat="1" x14ac:dyDescent="0.25"/>
    <row r="213" s="65" customFormat="1" x14ac:dyDescent="0.25"/>
    <row r="214" s="65" customFormat="1" x14ac:dyDescent="0.25"/>
    <row r="215" s="65" customFormat="1" x14ac:dyDescent="0.25"/>
    <row r="216" s="65" customFormat="1" x14ac:dyDescent="0.25"/>
    <row r="217" s="65" customFormat="1" x14ac:dyDescent="0.25"/>
    <row r="218" s="65" customFormat="1" x14ac:dyDescent="0.25"/>
    <row r="219" s="65" customFormat="1" x14ac:dyDescent="0.25"/>
    <row r="220" s="65" customFormat="1" x14ac:dyDescent="0.25"/>
    <row r="221" s="65" customFormat="1" x14ac:dyDescent="0.25"/>
    <row r="222" s="65" customFormat="1" x14ac:dyDescent="0.25"/>
    <row r="223" s="65" customFormat="1" x14ac:dyDescent="0.25"/>
    <row r="224" s="65" customFormat="1" x14ac:dyDescent="0.25"/>
    <row r="225" s="65" customFormat="1" x14ac:dyDescent="0.25"/>
    <row r="226" s="65" customFormat="1" x14ac:dyDescent="0.25"/>
    <row r="227" s="65" customFormat="1" x14ac:dyDescent="0.25"/>
    <row r="228" s="65" customFormat="1" x14ac:dyDescent="0.25"/>
    <row r="229" s="65" customFormat="1" x14ac:dyDescent="0.25"/>
    <row r="230" s="65" customFormat="1" x14ac:dyDescent="0.25"/>
    <row r="231" s="65" customFormat="1" x14ac:dyDescent="0.25"/>
    <row r="232" s="65" customFormat="1" x14ac:dyDescent="0.25"/>
    <row r="233" s="65" customFormat="1" x14ac:dyDescent="0.25"/>
    <row r="234" s="65" customFormat="1" x14ac:dyDescent="0.25"/>
    <row r="235" s="65" customFormat="1" x14ac:dyDescent="0.25"/>
    <row r="236" s="65" customFormat="1" x14ac:dyDescent="0.25"/>
    <row r="237" s="65" customFormat="1" x14ac:dyDescent="0.25"/>
    <row r="238" s="65" customFormat="1" x14ac:dyDescent="0.25"/>
    <row r="239" s="65" customFormat="1" x14ac:dyDescent="0.25"/>
    <row r="240" s="65" customFormat="1" x14ac:dyDescent="0.25"/>
    <row r="241" s="65" customFormat="1" x14ac:dyDescent="0.25"/>
    <row r="242" s="65" customFormat="1" x14ac:dyDescent="0.25"/>
    <row r="243" s="65" customFormat="1" x14ac:dyDescent="0.25"/>
    <row r="244" s="65" customFormat="1" x14ac:dyDescent="0.25"/>
    <row r="245" s="65" customFormat="1" x14ac:dyDescent="0.25"/>
    <row r="246" s="65" customFormat="1" x14ac:dyDescent="0.25"/>
    <row r="247" s="65" customFormat="1" x14ac:dyDescent="0.25"/>
    <row r="248" s="65" customFormat="1" x14ac:dyDescent="0.25"/>
    <row r="249" s="65" customFormat="1" x14ac:dyDescent="0.25"/>
    <row r="250" s="65" customFormat="1" x14ac:dyDescent="0.25"/>
    <row r="251" s="65" customFormat="1" x14ac:dyDescent="0.25"/>
    <row r="252" s="65" customFormat="1" x14ac:dyDescent="0.25"/>
    <row r="253" s="65" customFormat="1" x14ac:dyDescent="0.25"/>
    <row r="254" s="65" customFormat="1" x14ac:dyDescent="0.25"/>
    <row r="255" s="65" customFormat="1" x14ac:dyDescent="0.25"/>
    <row r="256" s="65" customFormat="1" x14ac:dyDescent="0.25"/>
    <row r="257" s="65" customFormat="1" x14ac:dyDescent="0.25"/>
    <row r="258" s="65" customFormat="1" x14ac:dyDescent="0.25"/>
    <row r="259" s="65" customFormat="1" x14ac:dyDescent="0.25"/>
    <row r="260" s="65" customFormat="1" x14ac:dyDescent="0.25"/>
    <row r="261" s="65" customFormat="1" x14ac:dyDescent="0.25"/>
    <row r="262" s="65" customFormat="1" x14ac:dyDescent="0.25"/>
    <row r="263" s="65" customFormat="1" x14ac:dyDescent="0.25"/>
    <row r="264" s="65" customFormat="1" x14ac:dyDescent="0.25"/>
    <row r="265" s="65" customFormat="1" x14ac:dyDescent="0.25"/>
    <row r="266" s="65" customFormat="1" x14ac:dyDescent="0.25"/>
    <row r="267" s="65" customFormat="1" x14ac:dyDescent="0.25"/>
    <row r="268" s="65" customFormat="1" x14ac:dyDescent="0.25"/>
    <row r="269" s="65" customFormat="1" x14ac:dyDescent="0.25"/>
    <row r="270" s="65" customFormat="1" x14ac:dyDescent="0.25"/>
    <row r="271" s="65" customFormat="1" x14ac:dyDescent="0.25"/>
    <row r="272" s="65" customFormat="1" x14ac:dyDescent="0.25"/>
    <row r="273" s="65" customFormat="1" x14ac:dyDescent="0.25"/>
    <row r="274" s="65" customFormat="1" x14ac:dyDescent="0.25"/>
    <row r="275" s="65" customFormat="1" x14ac:dyDescent="0.25"/>
    <row r="276" s="65" customFormat="1" x14ac:dyDescent="0.25"/>
    <row r="277" s="65" customFormat="1" x14ac:dyDescent="0.25"/>
    <row r="278" s="65" customFormat="1" x14ac:dyDescent="0.25"/>
    <row r="279" s="65" customFormat="1" x14ac:dyDescent="0.25"/>
    <row r="280" s="65" customFormat="1" x14ac:dyDescent="0.25"/>
    <row r="281" s="65" customFormat="1" x14ac:dyDescent="0.25"/>
    <row r="282" s="65" customFormat="1" x14ac:dyDescent="0.25"/>
    <row r="283" s="65" customFormat="1" x14ac:dyDescent="0.25"/>
    <row r="284" s="65" customFormat="1" x14ac:dyDescent="0.25"/>
    <row r="285" s="65" customFormat="1" x14ac:dyDescent="0.25"/>
    <row r="286" s="65" customFormat="1" x14ac:dyDescent="0.25"/>
    <row r="287" s="65" customFormat="1" x14ac:dyDescent="0.25"/>
    <row r="288" s="65" customFormat="1" x14ac:dyDescent="0.25"/>
    <row r="289" s="65" customFormat="1" x14ac:dyDescent="0.25"/>
    <row r="290" s="65" customFormat="1" x14ac:dyDescent="0.25"/>
    <row r="291" s="65" customFormat="1" x14ac:dyDescent="0.25"/>
    <row r="292" s="65" customFormat="1" x14ac:dyDescent="0.25"/>
    <row r="293" s="65" customFormat="1" x14ac:dyDescent="0.25"/>
    <row r="294" s="65" customFormat="1" x14ac:dyDescent="0.25"/>
    <row r="295" s="65" customFormat="1" x14ac:dyDescent="0.25"/>
    <row r="296" s="65" customFormat="1" x14ac:dyDescent="0.25"/>
    <row r="297" s="65" customFormat="1" x14ac:dyDescent="0.25"/>
    <row r="298" s="65" customFormat="1" x14ac:dyDescent="0.25"/>
    <row r="299" s="65" customFormat="1" x14ac:dyDescent="0.25"/>
    <row r="300" s="65" customFormat="1" x14ac:dyDescent="0.25"/>
    <row r="301" s="65" customFormat="1" x14ac:dyDescent="0.25"/>
    <row r="302" s="65" customFormat="1" x14ac:dyDescent="0.25"/>
    <row r="303" s="65" customFormat="1" x14ac:dyDescent="0.25"/>
    <row r="304" s="65" customFormat="1" x14ac:dyDescent="0.25"/>
    <row r="305" s="65" customFormat="1" x14ac:dyDescent="0.25"/>
    <row r="306" s="65" customFormat="1" x14ac:dyDescent="0.25"/>
    <row r="307" s="65" customFormat="1" x14ac:dyDescent="0.25"/>
    <row r="308" s="65" customFormat="1" x14ac:dyDescent="0.25"/>
    <row r="309" s="65" customFormat="1" x14ac:dyDescent="0.25"/>
    <row r="310" s="65" customFormat="1" x14ac:dyDescent="0.25"/>
    <row r="311" s="65" customFormat="1" x14ac:dyDescent="0.25"/>
    <row r="312" s="65" customFormat="1" x14ac:dyDescent="0.25"/>
    <row r="313" s="65" customFormat="1" x14ac:dyDescent="0.25"/>
    <row r="314" s="65" customFormat="1" x14ac:dyDescent="0.25"/>
    <row r="315" s="65" customFormat="1" x14ac:dyDescent="0.25"/>
    <row r="316" s="65" customFormat="1" x14ac:dyDescent="0.25"/>
    <row r="317" s="65" customFormat="1" x14ac:dyDescent="0.25"/>
    <row r="318" s="65" customFormat="1" x14ac:dyDescent="0.25"/>
    <row r="319" s="65" customFormat="1" x14ac:dyDescent="0.25"/>
    <row r="320" s="65" customFormat="1" x14ac:dyDescent="0.25"/>
    <row r="321" s="65" customFormat="1" x14ac:dyDescent="0.25"/>
    <row r="322" s="65" customFormat="1" x14ac:dyDescent="0.25"/>
    <row r="323" s="65" customFormat="1" x14ac:dyDescent="0.25"/>
    <row r="324" s="65" customFormat="1" x14ac:dyDescent="0.25"/>
    <row r="325" s="65" customFormat="1" x14ac:dyDescent="0.25"/>
  </sheetData>
  <sheetProtection password="E163" sheet="1" objects="1" scenarios="1"/>
  <mergeCells count="6">
    <mergeCell ref="R18:U18"/>
    <mergeCell ref="A5:J5"/>
    <mergeCell ref="N6:O6"/>
    <mergeCell ref="N17:O17"/>
    <mergeCell ref="R6:U6"/>
    <mergeCell ref="R12:U1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11</xdr:col>
                <xdr:colOff>0</xdr:colOff>
                <xdr:row>0</xdr:row>
                <xdr:rowOff>114300</xdr:rowOff>
              </from>
              <to>
                <xdr:col>12</xdr:col>
                <xdr:colOff>1228725</xdr:colOff>
                <xdr:row>2</xdr:row>
                <xdr:rowOff>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H1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26" sqref="D26"/>
    </sheetView>
  </sheetViews>
  <sheetFormatPr defaultRowHeight="15" x14ac:dyDescent="0.25"/>
  <cols>
    <col min="1" max="1" width="25.140625" bestFit="1" customWidth="1"/>
  </cols>
  <sheetData>
    <row r="1" spans="1:34" ht="15.75" thickBot="1" x14ac:dyDescent="0.3">
      <c r="C1" s="133" t="s">
        <v>48</v>
      </c>
      <c r="D1" s="133"/>
      <c r="E1" s="133"/>
      <c r="F1" s="133"/>
      <c r="G1" s="133"/>
      <c r="H1" s="133"/>
      <c r="I1" s="133"/>
      <c r="J1" s="134"/>
      <c r="K1" s="133" t="s">
        <v>37</v>
      </c>
      <c r="L1" s="133"/>
      <c r="M1" s="133"/>
      <c r="N1" s="133"/>
      <c r="O1" s="133"/>
      <c r="P1" s="133"/>
      <c r="Q1" s="133"/>
      <c r="R1" s="134"/>
      <c r="S1" s="133" t="s">
        <v>39</v>
      </c>
      <c r="T1" s="133"/>
      <c r="U1" s="133"/>
      <c r="V1" s="133"/>
      <c r="W1" s="133"/>
      <c r="X1" s="133"/>
      <c r="Y1" s="133"/>
      <c r="Z1" s="134"/>
      <c r="AB1" s="2"/>
      <c r="AC1" s="2"/>
      <c r="AD1" s="2"/>
      <c r="AE1" s="2"/>
      <c r="AF1" s="2"/>
      <c r="AG1" s="2"/>
    </row>
    <row r="2" spans="1:34" ht="15.75" thickBot="1" x14ac:dyDescent="0.3">
      <c r="A2" s="2" t="s">
        <v>47</v>
      </c>
      <c r="B2" s="2" t="s">
        <v>25</v>
      </c>
      <c r="C2" s="13" t="s">
        <v>27</v>
      </c>
      <c r="D2" s="13" t="s">
        <v>28</v>
      </c>
      <c r="E2" s="13" t="s">
        <v>29</v>
      </c>
      <c r="F2" s="13" t="s">
        <v>30</v>
      </c>
      <c r="G2" s="13" t="s">
        <v>31</v>
      </c>
      <c r="H2" s="13" t="s">
        <v>32</v>
      </c>
      <c r="I2" s="13" t="s">
        <v>33</v>
      </c>
      <c r="J2" s="13" t="s">
        <v>34</v>
      </c>
      <c r="K2" s="11" t="s">
        <v>27</v>
      </c>
      <c r="L2" s="10" t="s">
        <v>28</v>
      </c>
      <c r="M2" s="10" t="s">
        <v>29</v>
      </c>
      <c r="N2" s="10" t="s">
        <v>30</v>
      </c>
      <c r="O2" s="10" t="s">
        <v>31</v>
      </c>
      <c r="P2" s="10" t="s">
        <v>32</v>
      </c>
      <c r="Q2" s="10" t="s">
        <v>33</v>
      </c>
      <c r="R2" s="12" t="s">
        <v>34</v>
      </c>
      <c r="S2" s="11" t="s">
        <v>27</v>
      </c>
      <c r="T2" s="10" t="s">
        <v>28</v>
      </c>
      <c r="U2" s="10" t="s">
        <v>29</v>
      </c>
      <c r="V2" s="10" t="s">
        <v>30</v>
      </c>
      <c r="W2" s="10" t="s">
        <v>31</v>
      </c>
      <c r="X2" s="10" t="s">
        <v>32</v>
      </c>
      <c r="Y2" s="10" t="s">
        <v>33</v>
      </c>
      <c r="Z2" s="12" t="s">
        <v>34</v>
      </c>
      <c r="AB2" s="5" t="s">
        <v>49</v>
      </c>
      <c r="AC2" s="5" t="s">
        <v>50</v>
      </c>
      <c r="AD2" s="5" t="s">
        <v>51</v>
      </c>
      <c r="AE2" s="5" t="s">
        <v>52</v>
      </c>
      <c r="AF2" s="5" t="s">
        <v>53</v>
      </c>
      <c r="AG2" s="5" t="s">
        <v>54</v>
      </c>
      <c r="AH2" s="5" t="s">
        <v>55</v>
      </c>
    </row>
    <row r="3" spans="1:34" ht="16.5" thickTop="1" thickBot="1" x14ac:dyDescent="0.3">
      <c r="A3" s="1" t="str">
        <f>IF(Timovi!B12&lt;&gt;"",Timovi!B12,0) &amp; " " &amp; "("&amp;Timovi!C12&amp;")"</f>
        <v>0 ()</v>
      </c>
      <c r="B3" s="2">
        <f ca="1">(AB3&amp;"."&amp;TEXT(AH3,"0")&amp;TEXT(AC3,"0")&amp;TEXT(AD3,"0")&amp;TEXT(AE3,"0")&amp;TEXT(AF3,"0")&amp;TEXT(AG3,"0"))+0</f>
        <v>1.111111</v>
      </c>
      <c r="C3" s="14">
        <f ca="1">SUM(D3:F3)</f>
        <v>0</v>
      </c>
      <c r="D3" s="14">
        <f t="shared" ref="D3:J8" ca="1" si="0">L3+T3</f>
        <v>0</v>
      </c>
      <c r="E3" s="14">
        <f t="shared" ca="1" si="0"/>
        <v>0</v>
      </c>
      <c r="F3" s="14">
        <f t="shared" ca="1" si="0"/>
        <v>0</v>
      </c>
      <c r="G3" s="14">
        <f t="shared" ca="1" si="0"/>
        <v>0</v>
      </c>
      <c r="H3" s="14">
        <f t="shared" ca="1" si="0"/>
        <v>0</v>
      </c>
      <c r="I3" s="14">
        <f t="shared" ca="1" si="0"/>
        <v>0</v>
      </c>
      <c r="J3" s="14">
        <f t="shared" ca="1" si="0"/>
        <v>0</v>
      </c>
      <c r="K3" s="16">
        <f ca="1">SUM(L3:N3)</f>
        <v>0</v>
      </c>
      <c r="L3" s="17">
        <f ca="1">SUMPRODUCT((Liga!$M$7:$M$21='Rangiranje Liga'!A3)*(Liga!$N$7:$N$21&gt;Liga!$O$7:$O$21))+SUMPRODUCT((Liga!$R$7:$R$19='Rangiranje Liga'!A3)*(Liga!$S$7:$S$19&gt;Liga!$T$7:$T$19))</f>
        <v>0</v>
      </c>
      <c r="M3" s="17">
        <f ca="1">SUMPRODUCT((Liga!$M$7:$M$21='Rangiranje Liga'!A3)*(Liga!$N$7:$N$21=Liga!$O$7:$O$21)*(Liga!$N$7:$N$21&lt;&gt;""))</f>
        <v>0</v>
      </c>
      <c r="N3" s="17">
        <f ca="1">SUMPRODUCT((Liga!$M$7:$M$21='Rangiranje Liga'!A3)*(Liga!$N$7:$N$21&lt;Liga!$O$7:$O$21))+SUMPRODUCT((Liga!$R$7:$R$19='Rangiranje Liga'!A3)*(Liga!$S$7:$S$19&lt;Liga!$T$7:$T$19))</f>
        <v>0</v>
      </c>
      <c r="O3" s="17">
        <f ca="1">SUMIF(Liga!$M$7:$M$21,'Rangiranje Liga'!A3,Liga!$N$7:$N$21)+SUMIF('Grupa A'!$R$7:$R$19,'Rangiranje Liga'!A3,Liga!$S$7:$S$19)</f>
        <v>0</v>
      </c>
      <c r="P3" s="17">
        <f ca="1">SUMIF(Liga!$M$7:$M$21,'Rangiranje Liga'!A3,Liga!$O$7:$O$21)+SUMIF(Liga!$R$7:$R$19,'Rangiranje Liga'!A3,Liga!$T$7:$T$19)</f>
        <v>0</v>
      </c>
      <c r="Q3" s="17">
        <f ca="1">O3-P3</f>
        <v>0</v>
      </c>
      <c r="R3" s="18">
        <f ca="1">L3*3+M3</f>
        <v>0</v>
      </c>
      <c r="S3" s="16">
        <f ca="1">SUM(T3:V3)</f>
        <v>0</v>
      </c>
      <c r="T3" s="17">
        <f ca="1">SUMPRODUCT((Liga!$P$7:$P$21='Rangiranje Liga'!A3)*(Liga!$O$7:$O$21&gt;Liga!$N$7:$N$21))+SUMPRODUCT((Liga!$U$7:$U$19='Rangiranje Liga'!A3)*(Liga!$T$7:$T$19&gt;Liga!$S$7:$S$19))</f>
        <v>0</v>
      </c>
      <c r="U3" s="17">
        <f ca="1">SUMPRODUCT((Liga!$P$7:$P$21='Rangiranje Liga'!A3)*(Liga!$O$7:$O$21=Liga!$N$7:$N$21)*(Liga!$O$7:$O$21&lt;&gt;""))</f>
        <v>0</v>
      </c>
      <c r="V3" s="17">
        <f ca="1">SUMPRODUCT((Liga!$P$7:$P$21='Rangiranje Liga'!A3)*(Liga!$O$7:$O$21&lt;Liga!$N$7:$N$21))+SUMPRODUCT((Liga!$U$7:$U$19='Rangiranje Liga'!A3)*(Liga!$T$7:$T$19&lt;Liga!$S$7:$S$19))</f>
        <v>0</v>
      </c>
      <c r="W3" s="17">
        <f ca="1">SUMIF(Liga!$P$7:$P$21,'Rangiranje Liga'!A3,Liga!$O$7:$O$21)+SUMIF(Liga!$U$7:$U$19,'Rangiranje Liga'!A3,Liga!$T$7:$T$19)</f>
        <v>0</v>
      </c>
      <c r="X3" s="17">
        <f ca="1">SUMIF(Liga!$P$7:$P$21,'Rangiranje Liga'!A3,Liga!$N$7:$N$21)+SUMIF(Liga!$U$7:$U$19,'Rangiranje Liga'!A3,Liga!$S$7:$S$19)</f>
        <v>0</v>
      </c>
      <c r="Y3" s="17">
        <f ca="1">W3-X3</f>
        <v>0</v>
      </c>
      <c r="Z3" s="18">
        <f ca="1">T3*3+U3</f>
        <v>0</v>
      </c>
      <c r="AB3" s="2">
        <f ca="1">RANK(J3,$J$3:$J$8)</f>
        <v>1</v>
      </c>
      <c r="AC3" s="2">
        <f ca="1">RANK(AC10,$AC$10:$AC$15)</f>
        <v>1</v>
      </c>
      <c r="AD3" s="2">
        <f ca="1">RANK(I3,$I$3:$I$8)</f>
        <v>1</v>
      </c>
      <c r="AE3" s="2">
        <f ca="1">RANK(G3,$G$3:$G$8)</f>
        <v>1</v>
      </c>
      <c r="AF3" s="2">
        <f ca="1">RANK(D3,$D$3:$D$8)</f>
        <v>1</v>
      </c>
      <c r="AG3" s="2">
        <f ca="1">RANK(H3,$H$3:$H$8)</f>
        <v>1</v>
      </c>
      <c r="AH3" s="2">
        <f ca="1">RANK(C3,$C$3:$C$8)</f>
        <v>1</v>
      </c>
    </row>
    <row r="4" spans="1:34" ht="16.5" thickTop="1" thickBot="1" x14ac:dyDescent="0.3">
      <c r="A4" s="1" t="str">
        <f>IF(Timovi!B13&lt;&gt;"",Timovi!B13,0) &amp; " " &amp; "("&amp;Timovi!C13&amp;")"</f>
        <v>0 ()</v>
      </c>
      <c r="B4" s="2">
        <f t="shared" ref="B4:B8" ca="1" si="1">(AB4&amp;"."&amp;TEXT(AH4,"0")&amp;TEXT(AC4,"0")&amp;TEXT(AD4,"0")&amp;TEXT(AE4,"0")&amp;TEXT(AF4,"0")&amp;TEXT(AG4,"0"))+0</f>
        <v>1.111111</v>
      </c>
      <c r="C4" s="14">
        <f ca="1">SUM(D4:F4)</f>
        <v>0</v>
      </c>
      <c r="D4" s="14">
        <f t="shared" ca="1" si="0"/>
        <v>0</v>
      </c>
      <c r="E4" s="14">
        <f t="shared" ca="1" si="0"/>
        <v>0</v>
      </c>
      <c r="F4" s="14">
        <f t="shared" ca="1" si="0"/>
        <v>0</v>
      </c>
      <c r="G4" s="14">
        <f t="shared" ca="1" si="0"/>
        <v>0</v>
      </c>
      <c r="H4" s="14">
        <f ca="1">P4+X4</f>
        <v>0</v>
      </c>
      <c r="I4" s="14">
        <f t="shared" ca="1" si="0"/>
        <v>0</v>
      </c>
      <c r="J4" s="14">
        <f t="shared" ca="1" si="0"/>
        <v>0</v>
      </c>
      <c r="K4" s="16">
        <f t="shared" ref="K4:K8" ca="1" si="2">SUM(L4:N4)</f>
        <v>0</v>
      </c>
      <c r="L4" s="17">
        <f ca="1">SUMPRODUCT((Liga!$M$7:$M$21='Rangiranje Liga'!A4)*(Liga!$N$7:$N$21&gt;Liga!$O$7:$O$21))+SUMPRODUCT((Liga!$R$7:$R$19='Rangiranje Liga'!A4)*(Liga!$S$7:$S$19&gt;Liga!$T$7:$T$19))</f>
        <v>0</v>
      </c>
      <c r="M4" s="17">
        <f ca="1">SUMPRODUCT((Liga!$M$7:$M$21='Rangiranje Liga'!A4)*(Liga!$N$7:$N$21=Liga!$O$7:$O$21)*(Liga!$N$7:$N$21&lt;&gt;""))</f>
        <v>0</v>
      </c>
      <c r="N4" s="17">
        <f ca="1">SUMPRODUCT((Liga!$M$7:$M$21='Rangiranje Liga'!A4)*(Liga!$N$7:$N$21&lt;Liga!$O$7:$O$21))+SUMPRODUCT((Liga!$R$7:$R$19='Rangiranje Liga'!A4)*(Liga!$S$7:$S$19&lt;Liga!$T$7:$T$19))</f>
        <v>0</v>
      </c>
      <c r="O4" s="17">
        <f ca="1">SUMIF(Liga!$M$7:$M$21,'Rangiranje Liga'!A4,Liga!$N$7:$N$21)+SUMIF('Grupa A'!$R$7:$R$19,'Rangiranje Liga'!A4,Liga!$S$7:$S$19)</f>
        <v>0</v>
      </c>
      <c r="P4" s="17">
        <f ca="1">SUMIF(Liga!$M$7:$M$21,'Rangiranje Liga'!A4,Liga!$O$7:$O$21)+SUMIF(Liga!$R$7:$R$19,'Rangiranje Liga'!A4,Liga!$T$7:$T$19)</f>
        <v>0</v>
      </c>
      <c r="Q4" s="17">
        <f t="shared" ref="Q4:Q8" ca="1" si="3">O4-P4</f>
        <v>0</v>
      </c>
      <c r="R4" s="18">
        <f t="shared" ref="R4:R8" ca="1" si="4">L4*3+M4</f>
        <v>0</v>
      </c>
      <c r="S4" s="16">
        <f t="shared" ref="S4:S8" ca="1" si="5">SUM(T4:V4)</f>
        <v>0</v>
      </c>
      <c r="T4" s="17">
        <f ca="1">SUMPRODUCT((Liga!$P$7:$P$21='Rangiranje Liga'!A4)*(Liga!$O$7:$O$21&gt;Liga!$N$7:$N$21))+SUMPRODUCT((Liga!$U$7:$U$19='Rangiranje Liga'!A4)*(Liga!$T$7:$T$19&gt;Liga!$S$7:$S$19))</f>
        <v>0</v>
      </c>
      <c r="U4" s="17">
        <f ca="1">SUMPRODUCT((Liga!$P$7:$P$21='Rangiranje Liga'!A4)*(Liga!$O$7:$O$21=Liga!$N$7:$N$21)*(Liga!$O$7:$O$21&lt;&gt;""))</f>
        <v>0</v>
      </c>
      <c r="V4" s="17">
        <f ca="1">SUMPRODUCT((Liga!$P$7:$P$21='Rangiranje Liga'!A4)*(Liga!$O$7:$O$21&lt;Liga!$N$7:$N$21))+SUMPRODUCT((Liga!$U$7:$U$19='Rangiranje Liga'!A4)*(Liga!$T$7:$T$19&lt;Liga!$S$7:$S$19))</f>
        <v>0</v>
      </c>
      <c r="W4" s="17">
        <f ca="1">SUMIF(Liga!$P$7:$P$21,'Rangiranje Liga'!A4,Liga!$O$7:$O$21)+SUMIF(Liga!$U$7:$U$19,'Rangiranje Liga'!A4,Liga!$T$7:$T$19)</f>
        <v>0</v>
      </c>
      <c r="X4" s="17">
        <f ca="1">SUMIF(Liga!$P$7:$P$21,'Rangiranje Liga'!A4,Liga!$N$7:$N$21)+SUMIF(Liga!$U$7:$U$19,'Rangiranje Liga'!A4,Liga!$S$7:$S$19)</f>
        <v>0</v>
      </c>
      <c r="Y4" s="17">
        <f t="shared" ref="Y4:Y8" ca="1" si="6">W4-X4</f>
        <v>0</v>
      </c>
      <c r="Z4" s="18">
        <f t="shared" ref="Z4:Z8" ca="1" si="7">T4*3+U4</f>
        <v>0</v>
      </c>
      <c r="AB4" s="2">
        <f t="shared" ref="AB4:AB8" ca="1" si="8">RANK(J4,$J$3:$J$8)</f>
        <v>1</v>
      </c>
      <c r="AC4" s="2">
        <f t="shared" ref="AC4:AC8" ca="1" si="9">RANK(AC11,$AC$10:$AC$15)</f>
        <v>1</v>
      </c>
      <c r="AD4" s="2">
        <f t="shared" ref="AD4:AD8" ca="1" si="10">RANK(I4,$I$3:$I$8)</f>
        <v>1</v>
      </c>
      <c r="AE4" s="2">
        <f t="shared" ref="AE4:AE8" ca="1" si="11">RANK(G4,$G$3:$G$8)</f>
        <v>1</v>
      </c>
      <c r="AF4" s="2">
        <f ca="1">RANK(D4,$D$3:$D$8)</f>
        <v>1</v>
      </c>
      <c r="AG4" s="2">
        <f t="shared" ref="AG4:AG8" ca="1" si="12">RANK(H4,$H$3:$H$8)</f>
        <v>1</v>
      </c>
      <c r="AH4" s="2">
        <f t="shared" ref="AH4:AH8" ca="1" si="13">RANK(C4,$C$3:$C$8)</f>
        <v>1</v>
      </c>
    </row>
    <row r="5" spans="1:34" ht="16.5" thickTop="1" thickBot="1" x14ac:dyDescent="0.3">
      <c r="A5" s="1" t="str">
        <f>IF(Timovi!B14&lt;&gt;"",Timovi!B14,0) &amp; " " &amp; "("&amp;Timovi!C14&amp;")"</f>
        <v>0 ()</v>
      </c>
      <c r="B5" s="2">
        <f t="shared" ca="1" si="1"/>
        <v>1.111111</v>
      </c>
      <c r="C5" s="14">
        <f t="shared" ref="C5:C7" ca="1" si="14">SUM(D5:F5)</f>
        <v>0</v>
      </c>
      <c r="D5" s="14">
        <f t="shared" ca="1" si="0"/>
        <v>0</v>
      </c>
      <c r="E5" s="14">
        <f t="shared" ca="1" si="0"/>
        <v>0</v>
      </c>
      <c r="F5" s="14">
        <f t="shared" ca="1" si="0"/>
        <v>0</v>
      </c>
      <c r="G5" s="14">
        <f t="shared" ca="1" si="0"/>
        <v>0</v>
      </c>
      <c r="H5" s="14">
        <f t="shared" ca="1" si="0"/>
        <v>0</v>
      </c>
      <c r="I5" s="14">
        <f t="shared" ca="1" si="0"/>
        <v>0</v>
      </c>
      <c r="J5" s="14">
        <f t="shared" ca="1" si="0"/>
        <v>0</v>
      </c>
      <c r="K5" s="16">
        <f t="shared" ca="1" si="2"/>
        <v>0</v>
      </c>
      <c r="L5" s="17">
        <f ca="1">SUMPRODUCT((Liga!$M$7:$M$21='Rangiranje Liga'!A5)*(Liga!$N$7:$N$21&gt;Liga!$O$7:$O$21))+SUMPRODUCT((Liga!$R$7:$R$19='Rangiranje Liga'!A5)*(Liga!$S$7:$S$19&gt;Liga!$T$7:$T$19))</f>
        <v>0</v>
      </c>
      <c r="M5" s="17">
        <f ca="1">SUMPRODUCT((Liga!$M$7:$M$21='Rangiranje Liga'!A5)*(Liga!$N$7:$N$21=Liga!$O$7:$O$21)*(Liga!$N$7:$N$21&lt;&gt;""))</f>
        <v>0</v>
      </c>
      <c r="N5" s="17">
        <f ca="1">SUMPRODUCT((Liga!$M$7:$M$21='Rangiranje Liga'!A5)*(Liga!$N$7:$N$21&lt;Liga!$O$7:$O$21))+SUMPRODUCT((Liga!$R$7:$R$19='Rangiranje Liga'!A5)*(Liga!$S$7:$S$19&lt;Liga!$T$7:$T$19))</f>
        <v>0</v>
      </c>
      <c r="O5" s="17">
        <f ca="1">SUMIF(Liga!$M$7:$M$21,'Rangiranje Liga'!A5,Liga!$N$7:$N$21)+SUMIF('Grupa A'!$R$7:$R$19,'Rangiranje Liga'!A5,Liga!$S$7:$S$19)</f>
        <v>0</v>
      </c>
      <c r="P5" s="17">
        <f ca="1">SUMIF(Liga!$M$7:$M$21,'Rangiranje Liga'!A5,Liga!$O$7:$O$21)+SUMIF(Liga!$R$7:$R$19,'Rangiranje Liga'!A5,Liga!$T$7:$T$19)</f>
        <v>0</v>
      </c>
      <c r="Q5" s="17">
        <f t="shared" ca="1" si="3"/>
        <v>0</v>
      </c>
      <c r="R5" s="18">
        <f t="shared" ca="1" si="4"/>
        <v>0</v>
      </c>
      <c r="S5" s="16">
        <f t="shared" ca="1" si="5"/>
        <v>0</v>
      </c>
      <c r="T5" s="17">
        <f ca="1">SUMPRODUCT((Liga!$P$7:$P$21='Rangiranje Liga'!A5)*(Liga!$O$7:$O$21&gt;Liga!$N$7:$N$21))+SUMPRODUCT((Liga!$U$7:$U$19='Rangiranje Liga'!A5)*(Liga!$T$7:$T$19&gt;Liga!$S$7:$S$19))</f>
        <v>0</v>
      </c>
      <c r="U5" s="17">
        <f ca="1">SUMPRODUCT((Liga!$P$7:$P$21='Rangiranje Liga'!A5)*(Liga!$O$7:$O$21=Liga!$N$7:$N$21)*(Liga!$O$7:$O$21&lt;&gt;""))</f>
        <v>0</v>
      </c>
      <c r="V5" s="17">
        <f ca="1">SUMPRODUCT((Liga!$P$7:$P$21='Rangiranje Liga'!A5)*(Liga!$O$7:$O$21&lt;Liga!$N$7:$N$21))+SUMPRODUCT((Liga!$U$7:$U$19='Rangiranje Liga'!A5)*(Liga!$T$7:$T$19&lt;Liga!$S$7:$S$19))</f>
        <v>0</v>
      </c>
      <c r="W5" s="17">
        <f ca="1">SUMIF(Liga!$P$7:$P$21,'Rangiranje Liga'!A5,Liga!$O$7:$O$21)+SUMIF(Liga!$U$7:$U$19,'Rangiranje Liga'!A5,Liga!$T$7:$T$19)</f>
        <v>0</v>
      </c>
      <c r="X5" s="17">
        <f ca="1">SUMIF(Liga!$P$7:$P$21,'Rangiranje Liga'!A5,Liga!$N$7:$N$21)+SUMIF(Liga!$U$7:$U$19,'Rangiranje Liga'!A5,Liga!$S$7:$S$19)</f>
        <v>0</v>
      </c>
      <c r="Y5" s="17">
        <f t="shared" ca="1" si="6"/>
        <v>0</v>
      </c>
      <c r="Z5" s="18">
        <f t="shared" ca="1" si="7"/>
        <v>0</v>
      </c>
      <c r="AB5" s="2">
        <f t="shared" ca="1" si="8"/>
        <v>1</v>
      </c>
      <c r="AC5" s="2">
        <f t="shared" ca="1" si="9"/>
        <v>1</v>
      </c>
      <c r="AD5" s="2">
        <f t="shared" ca="1" si="10"/>
        <v>1</v>
      </c>
      <c r="AE5" s="2">
        <f t="shared" ca="1" si="11"/>
        <v>1</v>
      </c>
      <c r="AF5" s="2">
        <f t="shared" ref="AF5:AF8" ca="1" si="15">RANK(D5,$D$3:$D$8)</f>
        <v>1</v>
      </c>
      <c r="AG5" s="2">
        <f t="shared" ca="1" si="12"/>
        <v>1</v>
      </c>
      <c r="AH5" s="2">
        <f t="shared" ca="1" si="13"/>
        <v>1</v>
      </c>
    </row>
    <row r="6" spans="1:34" ht="16.5" thickTop="1" thickBot="1" x14ac:dyDescent="0.3">
      <c r="A6" s="1" t="str">
        <f>IF(Timovi!B15&lt;&gt;"",Timovi!B15,0) &amp; " " &amp; "("&amp;Timovi!C15&amp;")"</f>
        <v>0 ()</v>
      </c>
      <c r="B6" s="2">
        <f t="shared" ca="1" si="1"/>
        <v>1.111111</v>
      </c>
      <c r="C6" s="14">
        <f t="shared" ca="1" si="14"/>
        <v>0</v>
      </c>
      <c r="D6" s="14">
        <f t="shared" ca="1" si="0"/>
        <v>0</v>
      </c>
      <c r="E6" s="14">
        <f t="shared" ca="1" si="0"/>
        <v>0</v>
      </c>
      <c r="F6" s="14">
        <f t="shared" ca="1" si="0"/>
        <v>0</v>
      </c>
      <c r="G6" s="14">
        <f t="shared" ca="1" si="0"/>
        <v>0</v>
      </c>
      <c r="H6" s="14">
        <f t="shared" ca="1" si="0"/>
        <v>0</v>
      </c>
      <c r="I6" s="14">
        <f t="shared" ca="1" si="0"/>
        <v>0</v>
      </c>
      <c r="J6" s="14">
        <f t="shared" ca="1" si="0"/>
        <v>0</v>
      </c>
      <c r="K6" s="16">
        <f t="shared" ca="1" si="2"/>
        <v>0</v>
      </c>
      <c r="L6" s="17">
        <f ca="1">SUMPRODUCT((Liga!$M$7:$M$21='Rangiranje Liga'!A6)*(Liga!$N$7:$N$21&gt;Liga!$O$7:$O$21))+SUMPRODUCT((Liga!$R$7:$R$19='Rangiranje Liga'!A6)*(Liga!$S$7:$S$19&gt;Liga!$T$7:$T$19))</f>
        <v>0</v>
      </c>
      <c r="M6" s="17">
        <f ca="1">SUMPRODUCT((Liga!$M$7:$M$21='Rangiranje Liga'!A6)*(Liga!$N$7:$N$21=Liga!$O$7:$O$21)*(Liga!$N$7:$N$21&lt;&gt;""))</f>
        <v>0</v>
      </c>
      <c r="N6" s="17">
        <f ca="1">SUMPRODUCT((Liga!$M$7:$M$21='Rangiranje Liga'!A6)*(Liga!$N$7:$N$21&lt;Liga!$O$7:$O$21))+SUMPRODUCT((Liga!$R$7:$R$19='Rangiranje Liga'!A6)*(Liga!$S$7:$S$19&lt;Liga!$T$7:$T$19))</f>
        <v>0</v>
      </c>
      <c r="O6" s="17">
        <f ca="1">SUMIF(Liga!$M$7:$M$21,'Rangiranje Liga'!A6,Liga!$N$7:$N$21)+SUMIF('Grupa A'!$R$7:$R$19,'Rangiranje Liga'!A6,Liga!$S$7:$S$19)</f>
        <v>0</v>
      </c>
      <c r="P6" s="17">
        <f ca="1">SUMIF(Liga!$M$7:$M$21,'Rangiranje Liga'!A6,Liga!$O$7:$O$21)+SUMIF(Liga!$R$7:$R$19,'Rangiranje Liga'!A6,Liga!$T$7:$T$19)</f>
        <v>0</v>
      </c>
      <c r="Q6" s="17">
        <f t="shared" ca="1" si="3"/>
        <v>0</v>
      </c>
      <c r="R6" s="18">
        <f t="shared" ca="1" si="4"/>
        <v>0</v>
      </c>
      <c r="S6" s="16">
        <f t="shared" ca="1" si="5"/>
        <v>0</v>
      </c>
      <c r="T6" s="17">
        <f ca="1">SUMPRODUCT((Liga!$P$7:$P$21='Rangiranje Liga'!A6)*(Liga!$O$7:$O$21&gt;Liga!$N$7:$N$21))+SUMPRODUCT((Liga!$U$7:$U$19='Rangiranje Liga'!A6)*(Liga!$T$7:$T$19&gt;Liga!$S$7:$S$19))</f>
        <v>0</v>
      </c>
      <c r="U6" s="17">
        <f ca="1">SUMPRODUCT((Liga!$P$7:$P$21='Rangiranje Liga'!A6)*(Liga!$O$7:$O$21=Liga!$N$7:$N$21)*(Liga!$O$7:$O$21&lt;&gt;""))</f>
        <v>0</v>
      </c>
      <c r="V6" s="17">
        <f ca="1">SUMPRODUCT((Liga!$P$7:$P$21='Rangiranje Liga'!A6)*(Liga!$O$7:$O$21&lt;Liga!$N$7:$N$21))+SUMPRODUCT((Liga!$U$7:$U$19='Rangiranje Liga'!A6)*(Liga!$T$7:$T$19&lt;Liga!$S$7:$S$19))</f>
        <v>0</v>
      </c>
      <c r="W6" s="17">
        <f ca="1">SUMIF(Liga!$P$7:$P$21,'Rangiranje Liga'!A6,Liga!$O$7:$O$21)+SUMIF(Liga!$U$7:$U$19,'Rangiranje Liga'!A6,Liga!$T$7:$T$19)</f>
        <v>0</v>
      </c>
      <c r="X6" s="17">
        <f ca="1">SUMIF(Liga!$P$7:$P$21,'Rangiranje Liga'!A6,Liga!$N$7:$N$21)+SUMIF(Liga!$U$7:$U$19,'Rangiranje Liga'!A6,Liga!$S$7:$S$19)</f>
        <v>0</v>
      </c>
      <c r="Y6" s="17">
        <f t="shared" ca="1" si="6"/>
        <v>0</v>
      </c>
      <c r="Z6" s="18">
        <f t="shared" ca="1" si="7"/>
        <v>0</v>
      </c>
      <c r="AB6" s="2">
        <f t="shared" ca="1" si="8"/>
        <v>1</v>
      </c>
      <c r="AC6" s="2">
        <f t="shared" ca="1" si="9"/>
        <v>1</v>
      </c>
      <c r="AD6" s="2">
        <f t="shared" ca="1" si="10"/>
        <v>1</v>
      </c>
      <c r="AE6" s="2">
        <f t="shared" ca="1" si="11"/>
        <v>1</v>
      </c>
      <c r="AF6" s="2">
        <f t="shared" ca="1" si="15"/>
        <v>1</v>
      </c>
      <c r="AG6" s="2">
        <f t="shared" ca="1" si="12"/>
        <v>1</v>
      </c>
      <c r="AH6" s="2">
        <f t="shared" ca="1" si="13"/>
        <v>1</v>
      </c>
    </row>
    <row r="7" spans="1:34" ht="16.5" thickTop="1" thickBot="1" x14ac:dyDescent="0.3">
      <c r="A7" s="1" t="str">
        <f>IF(Timovi!B16&lt;&gt;"",Timovi!B16,0) &amp; " " &amp; "("&amp;Timovi!C16&amp;")"</f>
        <v>0 ()</v>
      </c>
      <c r="B7" s="2">
        <f t="shared" ca="1" si="1"/>
        <v>1.111111</v>
      </c>
      <c r="C7" s="14">
        <f t="shared" ca="1" si="14"/>
        <v>0</v>
      </c>
      <c r="D7" s="14">
        <f t="shared" ca="1" si="0"/>
        <v>0</v>
      </c>
      <c r="E7" s="14">
        <f t="shared" ca="1" si="0"/>
        <v>0</v>
      </c>
      <c r="F7" s="14">
        <f t="shared" ca="1" si="0"/>
        <v>0</v>
      </c>
      <c r="G7" s="14">
        <f t="shared" ca="1" si="0"/>
        <v>0</v>
      </c>
      <c r="H7" s="14">
        <f t="shared" ca="1" si="0"/>
        <v>0</v>
      </c>
      <c r="I7" s="14">
        <f t="shared" ca="1" si="0"/>
        <v>0</v>
      </c>
      <c r="J7" s="14">
        <f t="shared" ca="1" si="0"/>
        <v>0</v>
      </c>
      <c r="K7" s="16">
        <f t="shared" ca="1" si="2"/>
        <v>0</v>
      </c>
      <c r="L7" s="17">
        <f ca="1">SUMPRODUCT((Liga!$M$7:$M$21='Rangiranje Liga'!A7)*(Liga!$N$7:$N$21&gt;Liga!$O$7:$O$21))+SUMPRODUCT((Liga!$R$7:$R$19='Rangiranje Liga'!A7)*(Liga!$S$7:$S$19&gt;Liga!$T$7:$T$19))</f>
        <v>0</v>
      </c>
      <c r="M7" s="17">
        <f ca="1">SUMPRODUCT((Liga!$M$7:$M$21='Rangiranje Liga'!A7)*(Liga!$N$7:$N$21=Liga!$O$7:$O$21)*(Liga!$N$7:$N$21&lt;&gt;""))</f>
        <v>0</v>
      </c>
      <c r="N7" s="17">
        <f ca="1">SUMPRODUCT((Liga!$M$7:$M$21='Rangiranje Liga'!A7)*(Liga!$N$7:$N$21&lt;Liga!$O$7:$O$21))+SUMPRODUCT((Liga!$R$7:$R$19='Rangiranje Liga'!A7)*(Liga!$S$7:$S$19&lt;Liga!$T$7:$T$19))</f>
        <v>0</v>
      </c>
      <c r="O7" s="17">
        <f ca="1">SUMIF(Liga!$M$7:$M$21,'Rangiranje Liga'!A7,Liga!$N$7:$N$21)+SUMIF('Grupa A'!$R$7:$R$19,'Rangiranje Liga'!A7,Liga!$S$7:$S$19)</f>
        <v>0</v>
      </c>
      <c r="P7" s="17">
        <f ca="1">SUMIF(Liga!$M$7:$M$21,'Rangiranje Liga'!A7,Liga!$O$7:$O$21)+SUMIF(Liga!$R$7:$R$19,'Rangiranje Liga'!A7,Liga!$T$7:$T$19)</f>
        <v>0</v>
      </c>
      <c r="Q7" s="17">
        <f t="shared" ca="1" si="3"/>
        <v>0</v>
      </c>
      <c r="R7" s="18">
        <f t="shared" ca="1" si="4"/>
        <v>0</v>
      </c>
      <c r="S7" s="16">
        <f t="shared" ca="1" si="5"/>
        <v>0</v>
      </c>
      <c r="T7" s="17">
        <f ca="1">SUMPRODUCT((Liga!$P$7:$P$21='Rangiranje Liga'!A7)*(Liga!$O$7:$O$21&gt;Liga!$N$7:$N$21))+SUMPRODUCT((Liga!$U$7:$U$19='Rangiranje Liga'!A7)*(Liga!$T$7:$T$19&gt;Liga!$S$7:$S$19))</f>
        <v>0</v>
      </c>
      <c r="U7" s="17">
        <f ca="1">SUMPRODUCT((Liga!$P$7:$P$21='Rangiranje Liga'!A7)*(Liga!$O$7:$O$21=Liga!$N$7:$N$21)*(Liga!$O$7:$O$21&lt;&gt;""))</f>
        <v>0</v>
      </c>
      <c r="V7" s="17">
        <f ca="1">SUMPRODUCT((Liga!$P$7:$P$21='Rangiranje Liga'!A7)*(Liga!$O$7:$O$21&lt;Liga!$N$7:$N$21))+SUMPRODUCT((Liga!$U$7:$U$19='Rangiranje Liga'!A7)*(Liga!$T$7:$T$19&lt;Liga!$S$7:$S$19))</f>
        <v>0</v>
      </c>
      <c r="W7" s="17">
        <f ca="1">SUMIF(Liga!$P$7:$P$21,'Rangiranje Liga'!A7,Liga!$O$7:$O$21)+SUMIF(Liga!$U$7:$U$19,'Rangiranje Liga'!A7,Liga!$T$7:$T$19)</f>
        <v>0</v>
      </c>
      <c r="X7" s="17">
        <f ca="1">SUMIF(Liga!$P$7:$P$21,'Rangiranje Liga'!A7,Liga!$N$7:$N$21)+SUMIF(Liga!$U$7:$U$19,'Rangiranje Liga'!A7,Liga!$S$7:$S$19)</f>
        <v>0</v>
      </c>
      <c r="Y7" s="17">
        <f t="shared" ca="1" si="6"/>
        <v>0</v>
      </c>
      <c r="Z7" s="18">
        <f t="shared" ca="1" si="7"/>
        <v>0</v>
      </c>
      <c r="AB7" s="2">
        <f t="shared" ca="1" si="8"/>
        <v>1</v>
      </c>
      <c r="AC7" s="2">
        <f t="shared" ca="1" si="9"/>
        <v>1</v>
      </c>
      <c r="AD7" s="2">
        <f t="shared" ca="1" si="10"/>
        <v>1</v>
      </c>
      <c r="AE7" s="2">
        <f t="shared" ca="1" si="11"/>
        <v>1</v>
      </c>
      <c r="AF7" s="2">
        <f t="shared" ca="1" si="15"/>
        <v>1</v>
      </c>
      <c r="AG7" s="2">
        <f t="shared" ca="1" si="12"/>
        <v>1</v>
      </c>
      <c r="AH7" s="2">
        <f t="shared" ca="1" si="13"/>
        <v>1</v>
      </c>
    </row>
    <row r="8" spans="1:34" ht="16.5" thickTop="1" thickBot="1" x14ac:dyDescent="0.3">
      <c r="A8" s="1" t="str">
        <f>IF(Timovi!A18&lt;&gt;"",Timovi!A18,0) &amp; " " &amp; "("&amp;Timovi!B18&amp;")"</f>
        <v>0 ()</v>
      </c>
      <c r="B8" s="2">
        <f t="shared" ca="1" si="1"/>
        <v>1.111111</v>
      </c>
      <c r="C8" s="14">
        <f ca="1">SUM(D8:F8)</f>
        <v>0</v>
      </c>
      <c r="D8" s="14">
        <f t="shared" ca="1" si="0"/>
        <v>0</v>
      </c>
      <c r="E8" s="14">
        <f t="shared" ca="1" si="0"/>
        <v>0</v>
      </c>
      <c r="F8" s="14">
        <f t="shared" ca="1" si="0"/>
        <v>0</v>
      </c>
      <c r="G8" s="14">
        <f t="shared" ca="1" si="0"/>
        <v>0</v>
      </c>
      <c r="H8" s="14">
        <f t="shared" ca="1" si="0"/>
        <v>0</v>
      </c>
      <c r="I8" s="14">
        <f ca="1">Q8+Y8</f>
        <v>0</v>
      </c>
      <c r="J8" s="14">
        <f t="shared" ca="1" si="0"/>
        <v>0</v>
      </c>
      <c r="K8" s="16">
        <f t="shared" ca="1" si="2"/>
        <v>0</v>
      </c>
      <c r="L8" s="17">
        <f ca="1">SUMPRODUCT((Liga!$M$7:$M$21='Rangiranje Liga'!A8)*(Liga!$N$7:$N$21&gt;Liga!$O$7:$O$21))+SUMPRODUCT((Liga!$R$7:$R$19='Rangiranje Liga'!A8)*(Liga!$S$7:$S$19&gt;Liga!$T$7:$T$19))</f>
        <v>0</v>
      </c>
      <c r="M8" s="17">
        <f ca="1">SUMPRODUCT((Liga!$M$7:$M$21='Rangiranje Liga'!A8)*(Liga!$N$7:$N$21=Liga!$O$7:$O$21)*(Liga!$N$7:$N$21&lt;&gt;""))</f>
        <v>0</v>
      </c>
      <c r="N8" s="17">
        <f ca="1">SUMPRODUCT((Liga!$M$7:$M$21='Rangiranje Liga'!A8)*(Liga!$N$7:$N$21&lt;Liga!$O$7:$O$21))+SUMPRODUCT((Liga!$R$7:$R$19='Rangiranje Liga'!A8)*(Liga!$S$7:$S$19&lt;Liga!$T$7:$T$19))</f>
        <v>0</v>
      </c>
      <c r="O8" s="17">
        <f ca="1">SUMIF(Liga!$M$7:$M$21,'Rangiranje Liga'!A8,Liga!$N$7:$N$21)+SUMIF('Grupa A'!$R$7:$R$19,'Rangiranje Liga'!A8,Liga!$S$7:$S$19)</f>
        <v>0</v>
      </c>
      <c r="P8" s="17">
        <f ca="1">SUMIF(Liga!$M$7:$M$21,'Rangiranje Liga'!A8,Liga!$O$7:$O$21)+SUMIF(Liga!$R$7:$R$19,'Rangiranje Liga'!A8,Liga!$T$7:$T$19)</f>
        <v>0</v>
      </c>
      <c r="Q8" s="17">
        <f t="shared" ca="1" si="3"/>
        <v>0</v>
      </c>
      <c r="R8" s="18">
        <f t="shared" ca="1" si="4"/>
        <v>0</v>
      </c>
      <c r="S8" s="16">
        <f t="shared" ca="1" si="5"/>
        <v>0</v>
      </c>
      <c r="T8" s="17">
        <f ca="1">SUMPRODUCT((Liga!$P$7:$P$21='Rangiranje Liga'!A8)*(Liga!$O$7:$O$21&gt;Liga!$N$7:$N$21))+SUMPRODUCT((Liga!$U$7:$U$19='Rangiranje Liga'!A8)*(Liga!$T$7:$T$19&gt;Liga!$S$7:$S$19))</f>
        <v>0</v>
      </c>
      <c r="U8" s="17">
        <f ca="1">SUMPRODUCT((Liga!$P$7:$P$21='Rangiranje Liga'!A8)*(Liga!$O$7:$O$21=Liga!$N$7:$N$21)*(Liga!$O$7:$O$21&lt;&gt;""))</f>
        <v>0</v>
      </c>
      <c r="V8" s="17">
        <f ca="1">SUMPRODUCT((Liga!$P$7:$P$21='Rangiranje Liga'!A8)*(Liga!$O$7:$O$21&lt;Liga!$N$7:$N$21))+SUMPRODUCT((Liga!$U$7:$U$19='Rangiranje Liga'!A8)*(Liga!$T$7:$T$19&lt;Liga!$S$7:$S$19))</f>
        <v>0</v>
      </c>
      <c r="W8" s="17">
        <f ca="1">SUMIF(Liga!$P$7:$P$21,'Rangiranje Liga'!A8,Liga!$O$7:$O$21)+SUMIF(Liga!$U$7:$U$19,'Rangiranje Liga'!A8,Liga!$T$7:$T$19)</f>
        <v>0</v>
      </c>
      <c r="X8" s="17">
        <f ca="1">SUMIF(Liga!$P$7:$P$21,'Rangiranje Liga'!A8,Liga!$N$7:$N$21)+SUMIF(Liga!$U$7:$U$19,'Rangiranje Liga'!A8,Liga!$S$7:$S$19)</f>
        <v>0</v>
      </c>
      <c r="Y8" s="17">
        <f t="shared" ca="1" si="6"/>
        <v>0</v>
      </c>
      <c r="Z8" s="18">
        <f t="shared" ca="1" si="7"/>
        <v>0</v>
      </c>
      <c r="AB8" s="2">
        <f t="shared" ca="1" si="8"/>
        <v>1</v>
      </c>
      <c r="AC8" s="2">
        <f t="shared" ca="1" si="9"/>
        <v>1</v>
      </c>
      <c r="AD8" s="2">
        <f t="shared" ca="1" si="10"/>
        <v>1</v>
      </c>
      <c r="AE8" s="2">
        <f t="shared" ca="1" si="11"/>
        <v>1</v>
      </c>
      <c r="AF8" s="2">
        <f t="shared" ca="1" si="15"/>
        <v>1</v>
      </c>
      <c r="AG8" s="2">
        <f t="shared" ca="1" si="12"/>
        <v>1</v>
      </c>
      <c r="AH8" s="2">
        <f t="shared" ca="1" si="13"/>
        <v>1</v>
      </c>
    </row>
    <row r="9" spans="1:34" ht="15.75" thickTop="1" x14ac:dyDescent="0.25">
      <c r="AB9" s="2"/>
      <c r="AC9" s="3" t="s">
        <v>59</v>
      </c>
      <c r="AD9" s="2"/>
      <c r="AE9" s="2"/>
      <c r="AF9" s="2"/>
      <c r="AG9" s="2"/>
    </row>
    <row r="10" spans="1:34" x14ac:dyDescent="0.25">
      <c r="AB10" s="2"/>
      <c r="AC10" s="9">
        <f ca="1">INDEX('Medjusoban susret Liga'!$R$2:$R$7,MATCH(A3,'Medjusoban susret Liga'!$I$2:$I$7,0),1)</f>
        <v>0</v>
      </c>
      <c r="AD10" s="2"/>
      <c r="AE10" s="2"/>
      <c r="AF10" s="2"/>
      <c r="AG10" s="2"/>
    </row>
    <row r="11" spans="1:34" x14ac:dyDescent="0.25">
      <c r="AB11" s="2"/>
      <c r="AC11" s="9">
        <f ca="1">INDEX('Medjusoban susret Liga'!$R$2:$R$7,MATCH(A4,'Medjusoban susret Liga'!$I$2:$I$7,0),1)</f>
        <v>0</v>
      </c>
      <c r="AD11" s="2"/>
      <c r="AE11" s="2"/>
      <c r="AF11" s="2"/>
      <c r="AG11" s="2"/>
    </row>
    <row r="12" spans="1:34" x14ac:dyDescent="0.25">
      <c r="AB12" s="2"/>
      <c r="AC12" s="9">
        <f ca="1">INDEX('Medjusoban susret Liga'!$R$2:$R$7,MATCH(A5,'Medjusoban susret Liga'!$I$2:$I$7,0),1)</f>
        <v>0</v>
      </c>
      <c r="AD12" s="2"/>
      <c r="AE12" s="2"/>
      <c r="AF12" s="2"/>
      <c r="AG12" s="2"/>
    </row>
    <row r="13" spans="1:34" x14ac:dyDescent="0.25">
      <c r="AB13" s="2"/>
      <c r="AC13" s="9">
        <f ca="1">INDEX('Medjusoban susret Liga'!$R$2:$R$7,MATCH(A6,'Medjusoban susret Liga'!$I$2:$I$7,0),1)</f>
        <v>0</v>
      </c>
      <c r="AD13" s="2"/>
      <c r="AE13" s="2"/>
      <c r="AF13" s="2"/>
      <c r="AG13" s="2"/>
    </row>
    <row r="14" spans="1:34" x14ac:dyDescent="0.25">
      <c r="AB14" s="2"/>
      <c r="AC14" s="9">
        <f ca="1">INDEX('Medjusoban susret Liga'!$R$2:$R$7,MATCH(A7,'Medjusoban susret Liga'!$I$2:$I$7,0),1)</f>
        <v>0</v>
      </c>
      <c r="AD14" s="2"/>
      <c r="AE14" s="2"/>
      <c r="AF14" s="2"/>
      <c r="AG14" s="2"/>
    </row>
    <row r="15" spans="1:34" x14ac:dyDescent="0.25">
      <c r="AB15" s="2"/>
      <c r="AC15" s="9">
        <f ca="1">INDEX('Medjusoban susret Liga'!$R$2:$R$7,MATCH(A8,'Medjusoban susret Liga'!$I$2:$I$7,0),1)</f>
        <v>0</v>
      </c>
      <c r="AD15" s="2"/>
      <c r="AE15" s="2"/>
      <c r="AF15" s="2"/>
      <c r="AG15" s="2"/>
    </row>
  </sheetData>
  <mergeCells count="3">
    <mergeCell ref="C1:J1"/>
    <mergeCell ref="K1:R1"/>
    <mergeCell ref="S1:Z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11"/>
  <sheetViews>
    <sheetView workbookViewId="0">
      <selection activeCell="K2" sqref="K2"/>
    </sheetView>
  </sheetViews>
  <sheetFormatPr defaultRowHeight="15" x14ac:dyDescent="0.25"/>
  <cols>
    <col min="7" max="7" width="43.85546875" customWidth="1"/>
    <col min="9" max="9" width="25.140625" bestFit="1" customWidth="1"/>
  </cols>
  <sheetData>
    <row r="1" spans="1:18" x14ac:dyDescent="0.25">
      <c r="A1" s="9" t="s">
        <v>37</v>
      </c>
      <c r="B1" s="9" t="s">
        <v>56</v>
      </c>
      <c r="C1" s="135" t="s">
        <v>38</v>
      </c>
      <c r="D1" s="135"/>
      <c r="E1" s="9" t="s">
        <v>56</v>
      </c>
      <c r="F1" s="9" t="s">
        <v>39</v>
      </c>
      <c r="J1" s="20" t="s">
        <v>57</v>
      </c>
      <c r="K1" s="21"/>
      <c r="L1" s="20" t="str">
        <f>I2</f>
        <v>0 ()</v>
      </c>
      <c r="M1" s="20" t="str">
        <f>I3</f>
        <v>0 ()</v>
      </c>
      <c r="N1" s="20" t="str">
        <f>I4</f>
        <v>0 ()</v>
      </c>
      <c r="O1" s="20" t="str">
        <f>I5</f>
        <v>0 ()</v>
      </c>
      <c r="P1" s="20" t="str">
        <f>I6</f>
        <v>0 ()</v>
      </c>
      <c r="Q1" s="20" t="str">
        <f>I7</f>
        <v>0 ()</v>
      </c>
      <c r="R1" s="15" t="s">
        <v>58</v>
      </c>
    </row>
    <row r="2" spans="1:18" x14ac:dyDescent="0.25">
      <c r="A2" s="1" t="str">
        <f ca="1">Liga!M7</f>
        <v xml:space="preserve"> ()</v>
      </c>
      <c r="B2" s="2" t="str">
        <f>IF(C2="","",IF(C2&gt;D2,"W",IF(C2&lt;D2,"L","D")))</f>
        <v/>
      </c>
      <c r="C2" s="1" t="str">
        <f>IF(Liga!N7="","",Liga!N7)</f>
        <v/>
      </c>
      <c r="D2" s="19" t="str">
        <f>IF(Liga!O7="","",Liga!O7)</f>
        <v/>
      </c>
      <c r="E2" s="9" t="str">
        <f>IF(D2="","",IF(D2&gt;C2,"W",IF(D2&lt;C2,"L","D")))</f>
        <v/>
      </c>
      <c r="F2" s="19" t="str">
        <f ca="1">Liga!P7</f>
        <v xml:space="preserve"> ()</v>
      </c>
      <c r="G2" t="str">
        <f ca="1">CONCATENATE(A2,F2,IF(B2="","",IF(B2="W",A2,IF(B2="L",F2,"D"))))</f>
        <v xml:space="preserve"> () ()</v>
      </c>
      <c r="I2" s="1" t="str">
        <f>'Rangiranje Liga'!A3</f>
        <v>0 ()</v>
      </c>
      <c r="J2" s="9">
        <f ca="1">'Rangiranje Liga'!J3</f>
        <v>0</v>
      </c>
      <c r="K2" s="9">
        <f ca="1">COUNTIF($J$2:$J$7,J2)</f>
        <v>6</v>
      </c>
      <c r="L2" s="22"/>
      <c r="M2" s="9">
        <f ca="1">IF($J2=$J3,(COUNTIF($G:$G,CONCATENATE($I2,$I3,$I2))+COUNTIF($G:$G,CONCATENATE($I3,$I2,$I2)))*3+COUNTIF($G:$G,CONCATENATE($I2,$I3,"D"))+COUNTIF($G:$G,CONCATENATE($I3,$I2,"D")),"")</f>
        <v>0</v>
      </c>
      <c r="N2" s="9">
        <f ca="1">IF($J2=$J4,(COUNTIF($G:$G,CONCATENATE($I2,$I4,$I2))+COUNTIF($G:$G,CONCATENATE($I4,$I2,$I2)))*3+COUNTIF($G:$G,CONCATENATE($I2,$I4,"D"))+COUNTIF($G:$G,CONCATENATE($I4,$I2,"D")),"")</f>
        <v>0</v>
      </c>
      <c r="O2" s="9">
        <f ca="1">IF($J2=$J5,(COUNTIF($G:$G,CONCATENATE($I2,$I5,$I2))+COUNTIF($G:$G,CONCATENATE($I5,$I2,$I2)))*3+COUNTIF($G:$G,CONCATENATE($I2,$I5,"D"))+COUNTIF($G:$G,CONCATENATE($I5,$I2,"D")),"")</f>
        <v>0</v>
      </c>
      <c r="P2" s="9">
        <f ca="1">IF($J2=$J6,(COUNTIF($G:$G,CONCATENATE($I2,$I6,$I2))+COUNTIF($G:$G,CONCATENATE($I6,$I2,$I2)))*3+COUNTIF($G:$G,CONCATENATE($I2,$I6,"D"))+COUNTIF($G:$G,CONCATENATE($I6,$I2,"D")),"")</f>
        <v>0</v>
      </c>
      <c r="Q2" s="9">
        <f ca="1">IF($J2=$J7,(COUNTIF($G:$G,CONCATENATE($I2,$I7,$I2))+COUNTIF($G:$G,CONCATENATE($I7,$I2,$I2)))*3+COUNTIF($G:$G,CONCATENATE($I2,$I7,"D"))+COUNTIF($G:$G,CONCATENATE($I7,$I2,"D")),"")</f>
        <v>0</v>
      </c>
      <c r="R2" s="9">
        <f t="shared" ref="R2:R7" ca="1" si="0">SUM(L2:Q2)</f>
        <v>0</v>
      </c>
    </row>
    <row r="3" spans="1:18" x14ac:dyDescent="0.25">
      <c r="A3" s="1" t="str">
        <f ca="1">Liga!M8</f>
        <v xml:space="preserve"> ()</v>
      </c>
      <c r="B3" s="2" t="str">
        <f t="shared" ref="B3:B11" si="1">IF(C3="","",IF(C3&gt;D3,"W",IF(C3&lt;D3,"L","D")))</f>
        <v/>
      </c>
      <c r="C3" s="1" t="str">
        <f>IF(Liga!N8="","",Liga!N8)</f>
        <v/>
      </c>
      <c r="D3" s="19" t="str">
        <f>IF(Liga!O8="","",Liga!O8)</f>
        <v/>
      </c>
      <c r="E3" s="9" t="str">
        <f t="shared" ref="E3:E11" si="2">IF(D3="","",IF(D3&gt;C3,"W",IF(D3&lt;C3,"L","D")))</f>
        <v/>
      </c>
      <c r="F3" s="19" t="str">
        <f ca="1">Liga!P8</f>
        <v xml:space="preserve"> ()</v>
      </c>
      <c r="G3" t="str">
        <f t="shared" ref="G3:G11" ca="1" si="3">CONCATENATE(A3,F3,IF(B3="","",IF(B3="W",A3,IF(B3="L",F3,"D"))))</f>
        <v xml:space="preserve"> () ()</v>
      </c>
      <c r="I3" s="1" t="str">
        <f>'Rangiranje Liga'!A4</f>
        <v>0 ()</v>
      </c>
      <c r="J3" s="24">
        <f ca="1">'Rangiranje Liga'!J4</f>
        <v>0</v>
      </c>
      <c r="K3" s="9">
        <f t="shared" ref="K3:K7" ca="1" si="4">COUNTIF($J$2:$J$7,J3)</f>
        <v>6</v>
      </c>
      <c r="L3" s="9">
        <f ca="1">IF($J3=$J2,(COUNTIF($G:$G,CONCATENATE($I3,$I2,$I3))+COUNTIF($G:$G,CONCATENATE($I2,$I3,$I3)))*3+COUNTIF($G:$G,CONCATENATE($I3,$I2,"D"))+COUNTIF($G:$G,CONCATENATE($I2,$I3,"D")),"")</f>
        <v>0</v>
      </c>
      <c r="M3" s="22"/>
      <c r="N3" s="9">
        <f ca="1">IF($J3=$J4,(COUNTIF($G:$G,CONCATENATE($I3,$I4,$I3))+COUNTIF($G:$G,CONCATENATE($I4,$I3,$I3)))*3+COUNTIF($G:$G,CONCATENATE($I3,$I4,"D"))+COUNTIF($G:$G,CONCATENATE($I4,$I3,"D")),"")</f>
        <v>0</v>
      </c>
      <c r="O3" s="9">
        <f ca="1">IF($J3=$J5,(COUNTIF($G:$G,CONCATENATE($I3,$I5,$I3))+COUNTIF($G:$G,CONCATENATE($I5,$I3,$I3)))*3+COUNTIF($G:$G,CONCATENATE($I3,$I5,"D"))+COUNTIF($G:$G,CONCATENATE($I5,$I3,"D")),"")</f>
        <v>0</v>
      </c>
      <c r="P3" s="9">
        <f ca="1">IF($J3=$J6,(COUNTIF($G:$G,CONCATENATE($I3,$I6,$I3))+COUNTIF($G:$G,CONCATENATE($I6,$I3,$I3)))*3+COUNTIF($G:$G,CONCATENATE($I3,$I6,"D"))+COUNTIF($G:$G,CONCATENATE($I6,$I3,"D")),"")</f>
        <v>0</v>
      </c>
      <c r="Q3" s="9">
        <f ca="1">IF($J3=$J7,(COUNTIF($G:$G,CONCATENATE($I3,$I7,$I3))+COUNTIF($G:$G,CONCATENATE($I7,$I3,$I3)))*3+COUNTIF($G:$G,CONCATENATE($I3,$I7,"D"))+COUNTIF($G:$G,CONCATENATE($I7,$I3,"D")),"")</f>
        <v>0</v>
      </c>
      <c r="R3" s="9">
        <f t="shared" ca="1" si="0"/>
        <v>0</v>
      </c>
    </row>
    <row r="4" spans="1:18" x14ac:dyDescent="0.25">
      <c r="A4" s="1" t="str">
        <f ca="1">Liga!M9</f>
        <v xml:space="preserve"> ()</v>
      </c>
      <c r="B4" s="2" t="str">
        <f t="shared" si="1"/>
        <v/>
      </c>
      <c r="C4" s="1" t="str">
        <f>IF(Liga!N9="","",Liga!N9)</f>
        <v/>
      </c>
      <c r="D4" s="19" t="str">
        <f>IF(Liga!O9="","",Liga!O9)</f>
        <v/>
      </c>
      <c r="E4" s="9" t="str">
        <f t="shared" si="2"/>
        <v/>
      </c>
      <c r="F4" s="19" t="str">
        <f ca="1">Liga!P9</f>
        <v xml:space="preserve"> ()</v>
      </c>
      <c r="G4" t="str">
        <f t="shared" ca="1" si="3"/>
        <v xml:space="preserve"> () ()</v>
      </c>
      <c r="I4" s="1" t="str">
        <f>'Rangiranje Liga'!A5</f>
        <v>0 ()</v>
      </c>
      <c r="J4" s="24">
        <f ca="1">'Rangiranje Liga'!J5</f>
        <v>0</v>
      </c>
      <c r="K4" s="9">
        <f t="shared" ca="1" si="4"/>
        <v>6</v>
      </c>
      <c r="L4" s="9">
        <f ca="1">IF($J4=$J2,(COUNTIF($G:$G,CONCATENATE($I4,$I2,$I4))+COUNTIF($G:$G,CONCATENATE($I2,$I4,$I4)))*3+COUNTIF($G:$G,CONCATENATE($I4,$I2,"D"))+COUNTIF($G:$G,CONCATENATE($I2,$I4,"D")),"")</f>
        <v>0</v>
      </c>
      <c r="M4" s="9">
        <f ca="1">IF($J4=$J3,(COUNTIF($G:$G,CONCATENATE($I4,$I3,$I4))+COUNTIF($G:$G,CONCATENATE($I3,$I4,$I4)))*3+COUNTIF($G:$G,CONCATENATE($I4,$I3,"D"))+COUNTIF($G:$G,CONCATENATE($I3,$I4,"D")),"")</f>
        <v>0</v>
      </c>
      <c r="N4" s="23"/>
      <c r="O4" s="9">
        <f ca="1">IF($J4=$J5,(COUNTIF($G:$G,CONCATENATE($I4,$I5,$I4))+COUNTIF($G:$G,CONCATENATE($I5,$I4,$I4)))*3+COUNTIF($G:$G,CONCATENATE($I4,$I5,"D"))+COUNTIF($G:$G,CONCATENATE($I5,$I4,"D")),"")</f>
        <v>0</v>
      </c>
      <c r="P4" s="9">
        <f ca="1">IF($J4=$J6,(COUNTIF($G:$G,CONCATENATE($I4,$I6,$I4))+COUNTIF($G:$G,CONCATENATE($I6,$I4,$I4)))*3+COUNTIF($G:$G,CONCATENATE($I4,$I6,"D"))+COUNTIF($G:$G,CONCATENATE($I6,$I4,"D")),"")</f>
        <v>0</v>
      </c>
      <c r="Q4" s="9">
        <f ca="1">IF($J4=$J7,(COUNTIF($G:$G,CONCATENATE($I4,$I7,$I4))+COUNTIF($G:$G,CONCATENATE($I7,$I4,$I4)))*3+COUNTIF($G:$G,CONCATENATE($I4,$I7,"D"))+COUNTIF($G:$G,CONCATENATE($I7,$I4,"D")),"")</f>
        <v>0</v>
      </c>
      <c r="R4" s="9">
        <f t="shared" ca="1" si="0"/>
        <v>0</v>
      </c>
    </row>
    <row r="5" spans="1:18" x14ac:dyDescent="0.25">
      <c r="A5" s="1" t="str">
        <f ca="1">Liga!M10</f>
        <v xml:space="preserve"> ()</v>
      </c>
      <c r="B5" s="2" t="str">
        <f t="shared" si="1"/>
        <v/>
      </c>
      <c r="C5" s="1" t="str">
        <f>IF(Liga!N10="","",Liga!N10)</f>
        <v/>
      </c>
      <c r="D5" s="19" t="str">
        <f>IF(Liga!O10="","",Liga!O10)</f>
        <v/>
      </c>
      <c r="E5" s="9" t="str">
        <f t="shared" si="2"/>
        <v/>
      </c>
      <c r="F5" s="19" t="str">
        <f ca="1">Liga!P10</f>
        <v xml:space="preserve"> ()</v>
      </c>
      <c r="G5" t="str">
        <f t="shared" ca="1" si="3"/>
        <v xml:space="preserve"> () ()</v>
      </c>
      <c r="I5" s="1" t="str">
        <f>'Rangiranje Liga'!A6</f>
        <v>0 ()</v>
      </c>
      <c r="J5" s="24">
        <f ca="1">'Rangiranje Liga'!J6</f>
        <v>0</v>
      </c>
      <c r="K5" s="9">
        <f t="shared" ca="1" si="4"/>
        <v>6</v>
      </c>
      <c r="L5" s="9">
        <f ca="1">IF($J5=$J2,(COUNTIF($G:$G,CONCATENATE($I5,$I2,$I5))+COUNTIF($G:$G,CONCATENATE($I2,$I5,$I5)))*3+COUNTIF($G:$G,CONCATENATE($I5,$I2,"D"))+COUNTIF($G:$G,CONCATENATE($I2,$I5,"D")),"")</f>
        <v>0</v>
      </c>
      <c r="M5" s="9">
        <f ca="1">IF($J5=$J3,(COUNTIF($G:$G,CONCATENATE($I5,$I3,$I5))+COUNTIF($G:$G,CONCATENATE($I3,$I5,$I5)))*3+COUNTIF($G:$G,CONCATENATE($I5,$I3,"D"))+COUNTIF($G:$G,CONCATENATE($I3,$I5,"D")),"")</f>
        <v>0</v>
      </c>
      <c r="N5" s="9">
        <f ca="1">IF($J5=$J4,(COUNTIF($G:$G,CONCATENATE($I5,$I4,$I5))+COUNTIF($G:$G,CONCATENATE($I4,$I5,$I5)))*3+COUNTIF($G:$G,CONCATENATE($I5,$I4,"D"))+COUNTIF($G:$G,CONCATENATE($I4,$I5,"D")),"")</f>
        <v>0</v>
      </c>
      <c r="O5" s="23"/>
      <c r="P5" s="9">
        <f ca="1">IF($J5=$J6,(COUNTIF($G:$G,CONCATENATE($I5,$I6,$I5))+COUNTIF($G:$G,CONCATENATE($I6,$I5,$I5)))*3+COUNTIF($G:$G,CONCATENATE($I5,$I6,"D"))+COUNTIF($G:$G,CONCATENATE($I6,$I5,"D")),"")</f>
        <v>0</v>
      </c>
      <c r="Q5" s="9">
        <f ca="1">IF($J5=$J7,(COUNTIF($G:$G,CONCATENATE($I5,$I7,$I5))+COUNTIF($G:$G,CONCATENATE($I7,$I5,$I5)))*3+COUNTIF($G:$G,CONCATENATE($I5,$I7,"D"))+COUNTIF($G:$G,CONCATENATE($I7,$I5,"D")),"")</f>
        <v>0</v>
      </c>
      <c r="R5" s="9">
        <f t="shared" ca="1" si="0"/>
        <v>0</v>
      </c>
    </row>
    <row r="6" spans="1:18" x14ac:dyDescent="0.25">
      <c r="A6" s="1" t="str">
        <f ca="1">Liga!M11</f>
        <v xml:space="preserve"> ()</v>
      </c>
      <c r="B6" s="2" t="str">
        <f t="shared" si="1"/>
        <v/>
      </c>
      <c r="C6" s="1" t="str">
        <f>IF(Liga!N11="","",Liga!N11)</f>
        <v/>
      </c>
      <c r="D6" s="19" t="str">
        <f>IF(Liga!O11="","",Liga!O11)</f>
        <v/>
      </c>
      <c r="E6" s="9" t="str">
        <f t="shared" si="2"/>
        <v/>
      </c>
      <c r="F6" s="19" t="str">
        <f ca="1">Liga!P11</f>
        <v xml:space="preserve"> ()</v>
      </c>
      <c r="G6" t="str">
        <f t="shared" ca="1" si="3"/>
        <v xml:space="preserve"> () ()</v>
      </c>
      <c r="I6" s="1" t="str">
        <f>'Rangiranje Liga'!A7</f>
        <v>0 ()</v>
      </c>
      <c r="J6" s="24">
        <f ca="1">'Rangiranje Liga'!J7</f>
        <v>0</v>
      </c>
      <c r="K6" s="9">
        <f t="shared" ca="1" si="4"/>
        <v>6</v>
      </c>
      <c r="L6" s="9">
        <f ca="1">IF($J6=$J2,(COUNTIF($G:$G,CONCATENATE($I6,$I2,$I6))+COUNTIF($G:$G,CONCATENATE($I2,$I6,$I6)))*3+COUNTIF($G:$G,CONCATENATE($I6,$I2,"D"))+COUNTIF($G:$G,CONCATENATE($I2,$I6,"D")),"")</f>
        <v>0</v>
      </c>
      <c r="M6" s="9">
        <f ca="1">IF($J6=$J3,(COUNTIF($G:$G,CONCATENATE($I6,$I3,$I6))+COUNTIF($G:$G,CONCATENATE($I3,$I6,$I6)))*3+COUNTIF($G:$G,CONCATENATE($I6,$I3,"D"))+COUNTIF($G:$G,CONCATENATE($I3,$I6,"D")),"")</f>
        <v>0</v>
      </c>
      <c r="N6" s="9">
        <f ca="1">IF($J6=$J4,(COUNTIF($G:$G,CONCATENATE($I6,$I4,$I6))+COUNTIF($G:$G,CONCATENATE($I4,$I6,$I6)))*3+COUNTIF($G:$G,CONCATENATE($I6,$I4,"D"))+COUNTIF($G:$G,CONCATENATE($I4,$I6,"D")),"")</f>
        <v>0</v>
      </c>
      <c r="O6" s="9">
        <f ca="1">IF($J6=$J5,(COUNTIF($G:$G,CONCATENATE($I6,$I5,$I6))+COUNTIF($G:$G,CONCATENATE($I5,$I6,$I6)))*3+COUNTIF($G:$G,CONCATENATE($I6,$I5,"D"))+COUNTIF($G:$G,CONCATENATE($I5,$I6,"D")),"")</f>
        <v>0</v>
      </c>
      <c r="P6" s="23"/>
      <c r="Q6" s="9">
        <f ca="1">IF($J6=$J7,(COUNTIF($G:$G,CONCATENATE($I6,$I7,$I6))+COUNTIF($G:$G,CONCATENATE($I7,$I6,$I6)))*3+COUNTIF($G:$G,CONCATENATE($I6,$I7,"D"))+COUNTIF($G:$G,CONCATENATE($I7,$I6,"D")),"")</f>
        <v>0</v>
      </c>
      <c r="R6" s="9">
        <f t="shared" ca="1" si="0"/>
        <v>0</v>
      </c>
    </row>
    <row r="7" spans="1:18" x14ac:dyDescent="0.25">
      <c r="A7" s="1" t="str">
        <f ca="1">Liga!M12</f>
        <v xml:space="preserve"> ()</v>
      </c>
      <c r="B7" s="2" t="str">
        <f t="shared" si="1"/>
        <v/>
      </c>
      <c r="C7" s="1" t="str">
        <f>IF(Liga!N12="","",Liga!N12)</f>
        <v/>
      </c>
      <c r="D7" s="19" t="str">
        <f>IF(Liga!O12="","",Liga!O12)</f>
        <v/>
      </c>
      <c r="E7" s="9" t="str">
        <f t="shared" si="2"/>
        <v/>
      </c>
      <c r="F7" s="19" t="str">
        <f ca="1">Liga!P12</f>
        <v xml:space="preserve"> ()</v>
      </c>
      <c r="G7" t="str">
        <f t="shared" ca="1" si="3"/>
        <v xml:space="preserve"> () ()</v>
      </c>
      <c r="I7" s="1" t="str">
        <f>'Rangiranje Liga'!A8</f>
        <v>0 ()</v>
      </c>
      <c r="J7" s="24">
        <f ca="1">'Rangiranje Liga'!J8</f>
        <v>0</v>
      </c>
      <c r="K7" s="9">
        <f t="shared" ca="1" si="4"/>
        <v>6</v>
      </c>
      <c r="L7" s="9">
        <f ca="1">IF($J7=$J2,(COUNTIF($G:$G,CONCATENATE($I7,$I2,$I7))+COUNTIF($G:$G,CONCATENATE($I2,$I7,$I7)))*3+COUNTIF($G:$G,CONCATENATE($I7,$I2,"D"))+COUNTIF($G:$G,CONCATENATE($I2,$I7,"D")),"")</f>
        <v>0</v>
      </c>
      <c r="M7" s="9">
        <f ca="1">IF($J7=$J3,(COUNTIF($G:$G,CONCATENATE($I7,$I3,$I7))+COUNTIF($G:$G,CONCATENATE($I3,$I7,$I7)))*3+COUNTIF($G:$G,CONCATENATE($I7,$I3,"D"))+COUNTIF($G:$G,CONCATENATE($I3,$I7,"D")),"")</f>
        <v>0</v>
      </c>
      <c r="N7" s="9">
        <f ca="1">IF($J7=$J4,(COUNTIF($G:$G,CONCATENATE($I7,$I4,$I7))+COUNTIF($G:$G,CONCATENATE($I4,$I7,$I7)))*3+COUNTIF($G:$G,CONCATENATE($I7,$I4,"D"))+COUNTIF($G:$G,CONCATENATE($I4,$I7,"D")),"")</f>
        <v>0</v>
      </c>
      <c r="O7" s="9">
        <f ca="1">IF($J7=$J5,(COUNTIF($G:$G,CONCATENATE($I7,$I5,$I7))+COUNTIF($G:$G,CONCATENATE($I5,$I7,$I7)))*3+COUNTIF($G:$G,CONCATENATE($I7,$I5,"D"))+COUNTIF($G:$G,CONCATENATE($I5,$I7,"D")),"")</f>
        <v>0</v>
      </c>
      <c r="P7" s="9">
        <f ca="1">IF($J7=$J6,(COUNTIF($G:$G,CONCATENATE($I7,$I6,$I7))+COUNTIF($G:$G,CONCATENATE($I6,$I7,$I7)))*3+COUNTIF($G:$G,CONCATENATE($I7,$I6,"D"))+COUNTIF($G:$G,CONCATENATE($I6,$I7,"D")),"")</f>
        <v>0</v>
      </c>
      <c r="Q7" s="23"/>
      <c r="R7" s="9">
        <f t="shared" ca="1" si="0"/>
        <v>0</v>
      </c>
    </row>
    <row r="8" spans="1:18" x14ac:dyDescent="0.25">
      <c r="A8" s="1" t="str">
        <f ca="1">Liga!M13</f>
        <v xml:space="preserve"> ()</v>
      </c>
      <c r="B8" s="2" t="str">
        <f t="shared" si="1"/>
        <v/>
      </c>
      <c r="C8" s="1" t="str">
        <f>IF(Liga!N13="","",Liga!N13)</f>
        <v/>
      </c>
      <c r="D8" s="19" t="str">
        <f>IF(Liga!O13="","",Liga!O13)</f>
        <v/>
      </c>
      <c r="E8" s="9" t="str">
        <f t="shared" si="2"/>
        <v/>
      </c>
      <c r="F8" s="19">
        <f ca="1">Liga!P13</f>
        <v>0</v>
      </c>
      <c r="G8" t="str">
        <f t="shared" ca="1" si="3"/>
        <v xml:space="preserve"> ()0</v>
      </c>
    </row>
    <row r="9" spans="1:18" x14ac:dyDescent="0.25">
      <c r="A9" s="1" t="str">
        <f ca="1">Liga!M14</f>
        <v xml:space="preserve"> ()</v>
      </c>
      <c r="B9" s="2" t="str">
        <f t="shared" si="1"/>
        <v/>
      </c>
      <c r="C9" s="1" t="str">
        <f>IF(Liga!N14="","",Liga!N14)</f>
        <v/>
      </c>
      <c r="D9" s="19" t="str">
        <f>IF(Liga!O14="","",Liga!O14)</f>
        <v/>
      </c>
      <c r="E9" s="9" t="str">
        <f t="shared" si="2"/>
        <v/>
      </c>
      <c r="F9" s="19" t="str">
        <f ca="1">Liga!P14</f>
        <v xml:space="preserve"> ()</v>
      </c>
      <c r="G9" t="str">
        <f t="shared" ca="1" si="3"/>
        <v xml:space="preserve"> () ()</v>
      </c>
    </row>
    <row r="10" spans="1:18" x14ac:dyDescent="0.25">
      <c r="A10" s="1" t="str">
        <f ca="1">Liga!M15</f>
        <v xml:space="preserve"> ()</v>
      </c>
      <c r="B10" s="2" t="str">
        <f t="shared" si="1"/>
        <v/>
      </c>
      <c r="C10" s="1" t="str">
        <f>IF(Liga!N15="","",Liga!N15)</f>
        <v/>
      </c>
      <c r="D10" s="19" t="str">
        <f>IF(Liga!O15="","",Liga!O15)</f>
        <v/>
      </c>
      <c r="E10" s="9" t="str">
        <f t="shared" si="2"/>
        <v/>
      </c>
      <c r="F10" s="19" t="str">
        <f ca="1">Liga!P15</f>
        <v xml:space="preserve"> ()</v>
      </c>
      <c r="G10" t="str">
        <f t="shared" ca="1" si="3"/>
        <v xml:space="preserve"> () ()</v>
      </c>
    </row>
    <row r="11" spans="1:18" x14ac:dyDescent="0.25">
      <c r="A11" s="1">
        <f ca="1">Liga!M16</f>
        <v>0</v>
      </c>
      <c r="B11" s="2" t="str">
        <f t="shared" si="1"/>
        <v/>
      </c>
      <c r="C11" s="1" t="str">
        <f>IF(Liga!N16="","",Liga!N16)</f>
        <v/>
      </c>
      <c r="D11" s="19" t="str">
        <f>IF(Liga!O16="","",Liga!O16)</f>
        <v/>
      </c>
      <c r="E11" s="9" t="str">
        <f t="shared" si="2"/>
        <v/>
      </c>
      <c r="F11" s="19" t="str">
        <f ca="1">Liga!P16</f>
        <v xml:space="preserve"> ()</v>
      </c>
      <c r="G11" t="str">
        <f t="shared" ca="1" si="3"/>
        <v>0 ()</v>
      </c>
    </row>
  </sheetData>
  <mergeCells count="1">
    <mergeCell ref="C1:D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O99"/>
  <sheetViews>
    <sheetView workbookViewId="0">
      <selection activeCell="B6" sqref="B6"/>
    </sheetView>
  </sheetViews>
  <sheetFormatPr defaultRowHeight="15" x14ac:dyDescent="0.25"/>
  <cols>
    <col min="2" max="3" width="25.140625" bestFit="1" customWidth="1"/>
    <col min="5" max="5" width="25.140625" bestFit="1" customWidth="1"/>
    <col min="6" max="6" width="24.85546875" bestFit="1" customWidth="1"/>
    <col min="8" max="9" width="24" bestFit="1" customWidth="1"/>
    <col min="11" max="11" width="23.5703125" bestFit="1" customWidth="1"/>
    <col min="12" max="12" width="23.7109375" bestFit="1" customWidth="1"/>
  </cols>
  <sheetData>
    <row r="1" spans="1:15" ht="15.75" thickBot="1" x14ac:dyDescent="0.3">
      <c r="A1" s="25">
        <f>Informacije!D7</f>
        <v>0</v>
      </c>
      <c r="D1" s="29">
        <f>A1-1</f>
        <v>-1</v>
      </c>
      <c r="G1" s="25">
        <f>D1-1</f>
        <v>-2</v>
      </c>
      <c r="J1" s="29">
        <f>G1-1</f>
        <v>-3</v>
      </c>
      <c r="M1" s="25">
        <f>J1-1</f>
        <v>-4</v>
      </c>
    </row>
    <row r="2" spans="1:15" x14ac:dyDescent="0.25">
      <c r="A2" s="26">
        <v>1</v>
      </c>
      <c r="B2" s="37" t="str">
        <f>Timovi!B12 &amp; " " &amp; "("&amp;Timovi!C12&amp;")"</f>
        <v xml:space="preserve"> ()</v>
      </c>
      <c r="C2" s="37" t="str">
        <f>Timovi!B13 &amp; " " &amp; "("&amp;Timovi!C13&amp;")"</f>
        <v xml:space="preserve"> ()</v>
      </c>
      <c r="D2" s="29">
        <f>IF(E2&lt;&gt;"",IF(ISODD($A$1),IF(A2&lt;&gt;$A$1,A2+2,2),IF(A2&lt;&gt;$A$1-1,IF(E3="",IF(A3=$A$1-1,IF(A3=$A$1-2,1,2),A3+2),A2+2),IF(A2&lt;&gt;$A$1-2,2,1))),"")</f>
        <v>3</v>
      </c>
      <c r="E2" s="38" t="str">
        <f>IF(AND(C2&lt;&gt;"",D1&lt;&gt;1),C2,"")</f>
        <v xml:space="preserve"> ()</v>
      </c>
      <c r="F2" s="38" t="str">
        <f>IF(E2&lt;&gt;"",B3,"")</f>
        <v xml:space="preserve"> ()</v>
      </c>
      <c r="G2" s="29">
        <f>IF(H2&lt;&gt;"",IF(ISODD($A$1),IF(D2&lt;&gt;$A$1,D2+2,2),IF(D2&lt;&gt;$A$1-1,IF(H3="",IF(D3=$A$1-1,IF(D3=$A$1-2,1,2),D3+2),D2+2),IF(D2&lt;&gt;$A$1-2,2,1))),"")</f>
        <v>5</v>
      </c>
      <c r="H2" s="38" t="str">
        <f>IF(AND(F2&lt;&gt;"",G1&lt;&gt;1),F2,"")</f>
        <v xml:space="preserve"> ()</v>
      </c>
      <c r="I2" s="38" t="str">
        <f>IF(H2&lt;&gt;"",E3,"")</f>
        <v xml:space="preserve"> ()</v>
      </c>
      <c r="J2" s="34">
        <f>IF(K2&lt;&gt;"",IF(ISODD($A$1),IF(G2&lt;&gt;$A$1,G2+2,2),IF(G2&lt;&gt;$A$1-1,IF(K3="",IF(G3=$A$1-1,IF(G3=$A$1-2,1,2),G3+2),G2+2),IF(G2&lt;&gt;$A$1-2,2,1))),"")</f>
        <v>7</v>
      </c>
      <c r="K2" s="38" t="str">
        <f>IF(AND(I2&lt;&gt;"",J1&lt;&gt;1),I2,"")</f>
        <v xml:space="preserve"> ()</v>
      </c>
      <c r="L2" s="38" t="str">
        <f>IF(K2&lt;&gt;"",H3,"")</f>
        <v xml:space="preserve"> ()</v>
      </c>
      <c r="M2" s="29">
        <f>IF(N2&lt;&gt;"",IF(ISODD($A$1),IF(J2&lt;&gt;$A$1,J2+2,2),IF(J2&lt;&gt;$A$1-1,IF(N3="",IF(J3=$A$1-1,IF(J3=$A$1-2,1,2),J3+2),J2+2),IF(J2&lt;&gt;$A$1-2,2,1))),"")</f>
        <v>9</v>
      </c>
      <c r="N2" s="38" t="str">
        <f>IF(AND(L2&lt;&gt;"",M1&lt;&gt;1),L2,"")</f>
        <v xml:space="preserve"> ()</v>
      </c>
      <c r="O2" s="38">
        <f>IF(N2&lt;&gt;"",K3,"")</f>
        <v>0</v>
      </c>
    </row>
    <row r="3" spans="1:15" x14ac:dyDescent="0.25">
      <c r="A3" s="27">
        <f>IF(A2=$A$1-1,A2,A2+1)</f>
        <v>2</v>
      </c>
      <c r="B3" s="37" t="str">
        <f>IF($A3=$A2,"",Timovi!B14 &amp; " " &amp; "("&amp;Timovi!C14&amp;")")</f>
        <v xml:space="preserve"> ()</v>
      </c>
      <c r="C3" s="37" t="str">
        <f>IF($A3=$A2,"",B2)</f>
        <v xml:space="preserve"> ()</v>
      </c>
      <c r="D3" s="30">
        <f>IF(E3&lt;&gt;"",IF(ISODD($A$1),IF(D2&lt;&gt;$A$1,D2+1,1),IF(ROW()=D$1,IF(A$6=$A$1-1,2,IF(A$6=$A$1-2,1,A$6+2)),IF(D2=$A$1-1,1,D2+1))),D2)</f>
        <v>4</v>
      </c>
      <c r="E3" s="37" t="str">
        <f>IF(E2&lt;&gt;"",C4,"")</f>
        <v xml:space="preserve"> ()</v>
      </c>
      <c r="F3" s="38" t="str">
        <f>IF($A3=D$1,"",E2)</f>
        <v xml:space="preserve"> ()</v>
      </c>
      <c r="G3" s="30">
        <f>IF(H3&lt;&gt;"",IF(ISODD($A$1),IF(G2&lt;&gt;$A$1,G2+1,1),IF(ROW()=G$1,IF(D$6=$A$1-1,2,IF(D$6=$A$1-2,1,D$6+2)),IF(G2=$A$1-1,1,G2+1))),G2)</f>
        <v>6</v>
      </c>
      <c r="H3" s="37" t="str">
        <f>IF(I3&lt;&gt;"",F4,"")</f>
        <v xml:space="preserve"> ()</v>
      </c>
      <c r="I3" s="38" t="str">
        <f>IF($A3=G$1,"",H2)</f>
        <v xml:space="preserve"> ()</v>
      </c>
      <c r="J3" s="35">
        <f>IF(K3&lt;&gt;"",IF(ISODD($A$1),IF(J2&lt;&gt;$A$1,J2+1,1),IF(ROW()=J$1,IF(G$6=$A$1-1,2,IF(G$6=$A$1-2,1,G$6+2)),IF(J2=$A$1-1,1,J2+1))),J2)</f>
        <v>8</v>
      </c>
      <c r="K3" s="37">
        <f>IF(L3&lt;&gt;"",I4,"")</f>
        <v>0</v>
      </c>
      <c r="L3" s="38" t="str">
        <f>IF($A3=J$1,"",K2)</f>
        <v xml:space="preserve"> ()</v>
      </c>
      <c r="M3" s="30">
        <f>IF(N3&lt;&gt;"",IF(ISODD($A$1),IF(M2&lt;&gt;$A$1,M2+1,1),IF(ROW()=M$1,IF(J$6=$A$1-1,2,IF(J$6=$A$1-2,1,J$6+2)),IF(M2=$A$1-1,1,M2+1))),M2)</f>
        <v>10</v>
      </c>
      <c r="N3" s="37" t="str">
        <f>IF($A3=M$1,"",N2)</f>
        <v xml:space="preserve"> ()</v>
      </c>
      <c r="O3" s="38">
        <f t="shared" ref="O3:O6" si="0">IF(N3&lt;&gt;"",L4,"")</f>
        <v>0</v>
      </c>
    </row>
    <row r="4" spans="1:15" x14ac:dyDescent="0.25">
      <c r="A4" s="27">
        <f t="shared" ref="A4:A6" si="1">IF(A3=$A$1-1,A3,A3+1)</f>
        <v>3</v>
      </c>
      <c r="B4" s="37" t="str">
        <f>IF($A4=$A3,"",C3)</f>
        <v xml:space="preserve"> ()</v>
      </c>
      <c r="C4" s="37" t="str">
        <f>IF($A4=$A3,"",Timovi!B15 &amp; " " &amp; "("&amp;Timovi!C15&amp;")")</f>
        <v xml:space="preserve"> ()</v>
      </c>
      <c r="D4" s="30">
        <f t="shared" ref="D4" si="2">IF(E4&lt;&gt;"",IF(ISODD($A$1),IF(D3&lt;&gt;$A$1,D3+1,1),IF(ROW()=D$1,IF(A$6=$A$1-1,2,IF(A$6=$A$1-2,1,A$6+2)),IF(D3=$A$1-1,1,D3+1))),D3)</f>
        <v>5</v>
      </c>
      <c r="E4" s="37" t="str">
        <f>IF($A4=D$1,"",F3)</f>
        <v xml:space="preserve"> ()</v>
      </c>
      <c r="F4" s="38" t="str">
        <f>IF(E4&lt;&gt;"",B5,"")</f>
        <v xml:space="preserve"> ()</v>
      </c>
      <c r="G4" s="30">
        <f t="shared" ref="G4:G6" si="3">IF(H4&lt;&gt;"",IF(ISODD($A$1),IF(G3&lt;&gt;$A$1,G3+1,1),IF(ROW()=G$1,IF(D$6=$A$1-1,2,IF(D$6=$A$1-2,1,D$6+2)),IF(G3=$A$1-1,1,G3+1))),G3)</f>
        <v>7</v>
      </c>
      <c r="H4" s="37" t="str">
        <f>IF($A4=G$1,"",I3)</f>
        <v xml:space="preserve"> ()</v>
      </c>
      <c r="I4" s="38">
        <f>IF(H4&lt;&gt;"",E5,"")</f>
        <v>0</v>
      </c>
      <c r="J4" s="35">
        <f t="shared" ref="J4:J6" si="4">IF(K4&lt;&gt;"",IF(ISODD($A$1),IF(J3&lt;&gt;$A$1,J3+1,1),IF(ROW()=J$1,IF(G$6=$A$1-1,2,IF(G$6=$A$1-2,1,G$6+2)),IF(J3=$A$1-1,1,J3+1))),J3)</f>
        <v>9</v>
      </c>
      <c r="K4" s="37" t="str">
        <f>IF($A4=J$1,"",L3)</f>
        <v xml:space="preserve"> ()</v>
      </c>
      <c r="L4" s="38">
        <f>IF(K4&lt;&gt;"",H5,"")</f>
        <v>0</v>
      </c>
      <c r="M4" s="30">
        <f t="shared" ref="M4:M6" si="5">IF(N4&lt;&gt;"",IF(ISODD($A$1),IF(M3&lt;&gt;$A$1,M3+1,1),IF(ROW()=M$1,IF(J$6=$A$1-1,2,IF(J$6=$A$1-2,1,J$6+2)),IF(M3=$A$1-1,1,M3+1))),M3)</f>
        <v>11</v>
      </c>
      <c r="N4" s="37" t="str">
        <f t="shared" ref="N4:N6" si="6">IF($A4=M$1,"",N3)</f>
        <v xml:space="preserve"> ()</v>
      </c>
      <c r="O4" s="38" t="str">
        <f t="shared" si="0"/>
        <v xml:space="preserve"> ()</v>
      </c>
    </row>
    <row r="5" spans="1:15" x14ac:dyDescent="0.25">
      <c r="A5" s="27">
        <f t="shared" si="1"/>
        <v>4</v>
      </c>
      <c r="B5" s="37" t="str">
        <f>IF($A5=$A4,"",Timovi!B16 &amp; " " &amp; "("&amp;Timovi!C16&amp;")")</f>
        <v xml:space="preserve"> ()</v>
      </c>
      <c r="C5" s="37" t="str">
        <f>IF($A5=$A4,"",B4)</f>
        <v xml:space="preserve"> ()</v>
      </c>
      <c r="D5" s="30">
        <f>IF(E5&lt;&gt;"",IF(ISODD($A$1),IF(D4&lt;&gt;$A$1,D4+1,1),IF(ROW()=D$1,IF(A$6=$A$1-1,2,IF(A$6=$A$1-2,1,A$6+2)),IF(D4=$A$1-1,1,D4+1))),D4)</f>
        <v>6</v>
      </c>
      <c r="E5" s="37">
        <f>IF(E2&lt;&gt;"",C6,"")</f>
        <v>0</v>
      </c>
      <c r="F5" s="38" t="str">
        <f>IF($A5=D$1,"",E4)</f>
        <v xml:space="preserve"> ()</v>
      </c>
      <c r="G5" s="30">
        <f t="shared" si="3"/>
        <v>8</v>
      </c>
      <c r="H5" s="37">
        <f>IF(I5&lt;&gt;"",F6,"")</f>
        <v>0</v>
      </c>
      <c r="I5" s="38" t="str">
        <f>IF($A5=G$1,"",H4)</f>
        <v xml:space="preserve"> ()</v>
      </c>
      <c r="J5" s="35">
        <f t="shared" si="4"/>
        <v>10</v>
      </c>
      <c r="K5" s="37">
        <f>IF(L5&lt;&gt;"",I6,"")</f>
        <v>0</v>
      </c>
      <c r="L5" s="38" t="str">
        <f>IF($A3=J$1,"",K4)</f>
        <v xml:space="preserve"> ()</v>
      </c>
      <c r="M5" s="30">
        <f t="shared" si="5"/>
        <v>12</v>
      </c>
      <c r="N5" s="37" t="str">
        <f t="shared" si="6"/>
        <v xml:space="preserve"> ()</v>
      </c>
      <c r="O5" s="38">
        <f t="shared" si="0"/>
        <v>0</v>
      </c>
    </row>
    <row r="6" spans="1:15" ht="15.75" thickBot="1" x14ac:dyDescent="0.3">
      <c r="A6" s="28">
        <f t="shared" si="1"/>
        <v>5</v>
      </c>
      <c r="B6" s="37" t="str">
        <f>IF($A6=$A5,"",C5)</f>
        <v xml:space="preserve"> ()</v>
      </c>
      <c r="C6" s="37">
        <f>IF($A6=$A5,"",Timovi!A18)</f>
        <v>0</v>
      </c>
      <c r="D6" s="31">
        <f>IF(E6&lt;&gt;"",IF(ISODD($A$1),IF(D5&lt;&gt;$A$1,D5+1,1),IF(ROW()=D$1,IF(A$6=$A$1-1,2,IF(A$6=$A$1-2,1,A$6+2)),IF(D5=$A$1-1,1,D5+1))),D5)</f>
        <v>7</v>
      </c>
      <c r="E6" s="37" t="str">
        <f>IF($A6=D$1,"",F5)</f>
        <v xml:space="preserve"> ()</v>
      </c>
      <c r="F6" s="38">
        <f>IF(E6&lt;&gt;"",C7,"")</f>
        <v>0</v>
      </c>
      <c r="G6" s="31">
        <f t="shared" si="3"/>
        <v>9</v>
      </c>
      <c r="H6" s="37" t="str">
        <f>IF($A6=G$1,"",I5)</f>
        <v xml:space="preserve"> ()</v>
      </c>
      <c r="I6" s="38">
        <f>IF(H6&lt;&gt;"",F7,"")</f>
        <v>0</v>
      </c>
      <c r="J6" s="36">
        <f t="shared" si="4"/>
        <v>11</v>
      </c>
      <c r="K6" s="37" t="str">
        <f>IF($A6=J$1,"",L5)</f>
        <v xml:space="preserve"> ()</v>
      </c>
      <c r="L6" s="38">
        <f>IF(K6&lt;&gt;"",I7,"")</f>
        <v>0</v>
      </c>
      <c r="M6" s="31">
        <f t="shared" si="5"/>
        <v>13</v>
      </c>
      <c r="N6" s="37" t="str">
        <f t="shared" si="6"/>
        <v xml:space="preserve"> ()</v>
      </c>
      <c r="O6" s="38">
        <f t="shared" si="0"/>
        <v>0</v>
      </c>
    </row>
    <row r="7" spans="1:15" x14ac:dyDescent="0.25">
      <c r="A7" s="6"/>
      <c r="E7" s="4"/>
    </row>
    <row r="8" spans="1:15" x14ac:dyDescent="0.25">
      <c r="A8" s="6"/>
      <c r="E8" s="33"/>
      <c r="F8" s="32"/>
    </row>
    <row r="9" spans="1:15" x14ac:dyDescent="0.25">
      <c r="A9" s="6"/>
      <c r="B9" s="7"/>
      <c r="F9" s="32"/>
    </row>
    <row r="10" spans="1:15" x14ac:dyDescent="0.25">
      <c r="A10" s="6">
        <v>1</v>
      </c>
      <c r="B10" s="6">
        <v>0</v>
      </c>
      <c r="C10" s="6">
        <v>1</v>
      </c>
      <c r="D10" s="6">
        <v>1</v>
      </c>
      <c r="E10" t="str">
        <f ca="1">IF(ISNA(VLOOKUP(D10,OFFSET($A$2:$C$6,0,$B10),2,FALSE)),"",VLOOKUP(D10,OFFSET($A$2:$C$6,0,$B10),2,FALSE))</f>
        <v xml:space="preserve"> ()</v>
      </c>
      <c r="F10" s="32" t="str">
        <f ca="1">IF(ISNA(VLOOKUP(D10,OFFSET($A$2:$C$6,0,$B10),3,FALSE)),"",VLOOKUP(D10,OFFSET($A$2:$C$6,0,$B10),3,FALSE))</f>
        <v xml:space="preserve"> ()</v>
      </c>
    </row>
    <row r="11" spans="1:15" x14ac:dyDescent="0.25">
      <c r="A11" s="6">
        <v>2</v>
      </c>
      <c r="B11" s="6">
        <f>B10+3</f>
        <v>3</v>
      </c>
      <c r="C11" s="6">
        <f ca="1">IF(OR(F11="",ISNA(F11)),C10,C10+1)</f>
        <v>1</v>
      </c>
      <c r="D11" s="6">
        <f>D10</f>
        <v>1</v>
      </c>
      <c r="E11" t="str">
        <f t="shared" ref="E11:E24" ca="1" si="7">IF(ISNA(VLOOKUP(D11,OFFSET($A$2:$C$6,0,$B11),2,FALSE)),"",VLOOKUP(D11,OFFSET($A$2:$C$6,0,$B11),2,FALSE))</f>
        <v/>
      </c>
      <c r="F11" s="32" t="str">
        <f t="shared" ref="F11:F24" ca="1" si="8">IF(ISNA(VLOOKUP(D11,OFFSET($A$2:$C$6,0,$B11),3,FALSE)),"",VLOOKUP(D11,OFFSET($A$2:$C$6,0,$B11),3,FALSE))</f>
        <v/>
      </c>
    </row>
    <row r="12" spans="1:15" x14ac:dyDescent="0.25">
      <c r="A12" s="6">
        <v>3</v>
      </c>
      <c r="B12" s="6">
        <f t="shared" ref="B12:B24" si="9">B11+3</f>
        <v>6</v>
      </c>
      <c r="C12" s="6">
        <f ca="1">IF(E12="",C11,C11+1)</f>
        <v>1</v>
      </c>
      <c r="D12" s="6">
        <f t="shared" ref="D12:D24" si="10">D11</f>
        <v>1</v>
      </c>
      <c r="E12" t="str">
        <f t="shared" ca="1" si="7"/>
        <v/>
      </c>
      <c r="F12" s="32" t="str">
        <f t="shared" ca="1" si="8"/>
        <v/>
      </c>
    </row>
    <row r="13" spans="1:15" x14ac:dyDescent="0.25">
      <c r="A13" s="6">
        <v>4</v>
      </c>
      <c r="B13" s="6">
        <f t="shared" si="9"/>
        <v>9</v>
      </c>
      <c r="C13" s="6">
        <f t="shared" ref="C13:C76" ca="1" si="11">IF(E13="",C12,C12+1)</f>
        <v>1</v>
      </c>
      <c r="D13" s="6">
        <f t="shared" si="10"/>
        <v>1</v>
      </c>
      <c r="E13" t="str">
        <f t="shared" ca="1" si="7"/>
        <v/>
      </c>
      <c r="F13" s="32" t="str">
        <f t="shared" ca="1" si="8"/>
        <v/>
      </c>
    </row>
    <row r="14" spans="1:15" x14ac:dyDescent="0.25">
      <c r="A14" s="6">
        <v>5</v>
      </c>
      <c r="B14" s="6">
        <f t="shared" si="9"/>
        <v>12</v>
      </c>
      <c r="C14" s="6">
        <f t="shared" ca="1" si="11"/>
        <v>1</v>
      </c>
      <c r="D14" s="6">
        <f t="shared" si="10"/>
        <v>1</v>
      </c>
      <c r="E14" t="str">
        <f t="shared" ca="1" si="7"/>
        <v/>
      </c>
      <c r="F14" s="32" t="str">
        <f t="shared" ca="1" si="8"/>
        <v/>
      </c>
    </row>
    <row r="15" spans="1:15" x14ac:dyDescent="0.25">
      <c r="A15" s="6">
        <v>6</v>
      </c>
      <c r="B15" s="6">
        <f t="shared" si="9"/>
        <v>15</v>
      </c>
      <c r="C15" s="6">
        <f t="shared" ca="1" si="11"/>
        <v>1</v>
      </c>
      <c r="D15" s="6">
        <f t="shared" si="10"/>
        <v>1</v>
      </c>
      <c r="E15" t="str">
        <f t="shared" ca="1" si="7"/>
        <v/>
      </c>
      <c r="F15" s="32" t="str">
        <f t="shared" ca="1" si="8"/>
        <v/>
      </c>
    </row>
    <row r="16" spans="1:15" x14ac:dyDescent="0.25">
      <c r="A16" s="6">
        <v>7</v>
      </c>
      <c r="B16" s="6">
        <f t="shared" si="9"/>
        <v>18</v>
      </c>
      <c r="C16" s="6">
        <f t="shared" ca="1" si="11"/>
        <v>1</v>
      </c>
      <c r="D16" s="6">
        <f t="shared" si="10"/>
        <v>1</v>
      </c>
      <c r="E16" t="str">
        <f t="shared" ca="1" si="7"/>
        <v/>
      </c>
      <c r="F16" s="32" t="str">
        <f t="shared" ca="1" si="8"/>
        <v/>
      </c>
    </row>
    <row r="17" spans="1:6" x14ac:dyDescent="0.25">
      <c r="A17" s="6">
        <v>8</v>
      </c>
      <c r="B17" s="6">
        <f t="shared" si="9"/>
        <v>21</v>
      </c>
      <c r="C17" s="6">
        <f t="shared" ca="1" si="11"/>
        <v>1</v>
      </c>
      <c r="D17" s="6">
        <f t="shared" si="10"/>
        <v>1</v>
      </c>
      <c r="E17" t="str">
        <f t="shared" ca="1" si="7"/>
        <v/>
      </c>
      <c r="F17" s="32" t="str">
        <f t="shared" ca="1" si="8"/>
        <v/>
      </c>
    </row>
    <row r="18" spans="1:6" x14ac:dyDescent="0.25">
      <c r="A18" s="6">
        <v>9</v>
      </c>
      <c r="B18" s="6">
        <f t="shared" si="9"/>
        <v>24</v>
      </c>
      <c r="C18" s="6">
        <f t="shared" ca="1" si="11"/>
        <v>1</v>
      </c>
      <c r="D18" s="6">
        <f t="shared" si="10"/>
        <v>1</v>
      </c>
      <c r="E18" t="str">
        <f t="shared" ca="1" si="7"/>
        <v/>
      </c>
      <c r="F18" s="32" t="str">
        <f t="shared" ca="1" si="8"/>
        <v/>
      </c>
    </row>
    <row r="19" spans="1:6" x14ac:dyDescent="0.25">
      <c r="A19" s="6">
        <v>10</v>
      </c>
      <c r="B19" s="6">
        <f t="shared" si="9"/>
        <v>27</v>
      </c>
      <c r="C19" s="6">
        <f t="shared" ca="1" si="11"/>
        <v>1</v>
      </c>
      <c r="D19" s="6">
        <f t="shared" si="10"/>
        <v>1</v>
      </c>
      <c r="E19" t="str">
        <f t="shared" ca="1" si="7"/>
        <v/>
      </c>
      <c r="F19" s="32" t="str">
        <f t="shared" ca="1" si="8"/>
        <v/>
      </c>
    </row>
    <row r="20" spans="1:6" x14ac:dyDescent="0.25">
      <c r="A20" s="6">
        <v>11</v>
      </c>
      <c r="B20" s="6">
        <f t="shared" si="9"/>
        <v>30</v>
      </c>
      <c r="C20" s="6">
        <f t="shared" ca="1" si="11"/>
        <v>1</v>
      </c>
      <c r="D20" s="6">
        <f t="shared" si="10"/>
        <v>1</v>
      </c>
      <c r="E20" t="str">
        <f t="shared" ca="1" si="7"/>
        <v/>
      </c>
      <c r="F20" s="32" t="str">
        <f t="shared" ca="1" si="8"/>
        <v/>
      </c>
    </row>
    <row r="21" spans="1:6" x14ac:dyDescent="0.25">
      <c r="A21" s="6">
        <v>12</v>
      </c>
      <c r="B21" s="6">
        <f t="shared" si="9"/>
        <v>33</v>
      </c>
      <c r="C21" s="6">
        <f t="shared" ca="1" si="11"/>
        <v>1</v>
      </c>
      <c r="D21" s="6">
        <f t="shared" si="10"/>
        <v>1</v>
      </c>
      <c r="E21" t="str">
        <f t="shared" ca="1" si="7"/>
        <v/>
      </c>
      <c r="F21" s="32" t="str">
        <f t="shared" ca="1" si="8"/>
        <v/>
      </c>
    </row>
    <row r="22" spans="1:6" x14ac:dyDescent="0.25">
      <c r="A22" s="6">
        <v>13</v>
      </c>
      <c r="B22" s="6">
        <f t="shared" si="9"/>
        <v>36</v>
      </c>
      <c r="C22" s="6">
        <f t="shared" ca="1" si="11"/>
        <v>1</v>
      </c>
      <c r="D22" s="6">
        <f t="shared" si="10"/>
        <v>1</v>
      </c>
      <c r="E22" t="str">
        <f t="shared" ca="1" si="7"/>
        <v/>
      </c>
      <c r="F22" s="32" t="str">
        <f t="shared" ca="1" si="8"/>
        <v/>
      </c>
    </row>
    <row r="23" spans="1:6" x14ac:dyDescent="0.25">
      <c r="A23" s="6">
        <v>14</v>
      </c>
      <c r="B23" s="6">
        <f t="shared" si="9"/>
        <v>39</v>
      </c>
      <c r="C23" s="6">
        <f t="shared" ca="1" si="11"/>
        <v>1</v>
      </c>
      <c r="D23" s="6">
        <f t="shared" si="10"/>
        <v>1</v>
      </c>
      <c r="E23" t="str">
        <f t="shared" ca="1" si="7"/>
        <v/>
      </c>
      <c r="F23" s="32" t="str">
        <f t="shared" ca="1" si="8"/>
        <v/>
      </c>
    </row>
    <row r="24" spans="1:6" x14ac:dyDescent="0.25">
      <c r="A24" s="6">
        <v>15</v>
      </c>
      <c r="B24" s="6">
        <f t="shared" si="9"/>
        <v>42</v>
      </c>
      <c r="C24" s="6">
        <f t="shared" ca="1" si="11"/>
        <v>1</v>
      </c>
      <c r="D24" s="6">
        <f t="shared" si="10"/>
        <v>1</v>
      </c>
      <c r="E24" t="str">
        <f t="shared" ca="1" si="7"/>
        <v/>
      </c>
      <c r="F24" s="32" t="str">
        <f t="shared" ca="1" si="8"/>
        <v/>
      </c>
    </row>
    <row r="25" spans="1:6" x14ac:dyDescent="0.25">
      <c r="C25" s="6">
        <f t="shared" ca="1" si="11"/>
        <v>2</v>
      </c>
      <c r="D25" s="6">
        <f>D24+1</f>
        <v>2</v>
      </c>
      <c r="E25" t="str">
        <f ca="1">IF(ISNA(VLOOKUP(D25,OFFSET($A$2:$C$6,0,$B10),2,FALSE)),"",VLOOKUP(D25,OFFSET($A$2:$C$6,0,$B10),2,FALSE))</f>
        <v xml:space="preserve"> ()</v>
      </c>
      <c r="F25" s="32" t="str">
        <f ca="1">IF(ISNA(VLOOKUP(D25,OFFSET($A$2:$C$6,0,$B10),3,FALSE)),"",VLOOKUP(D25,OFFSET($A$2:$C$6,0,$B10),3,FALSE))</f>
        <v xml:space="preserve"> ()</v>
      </c>
    </row>
    <row r="26" spans="1:6" x14ac:dyDescent="0.25">
      <c r="C26" s="6">
        <f t="shared" ca="1" si="11"/>
        <v>2</v>
      </c>
      <c r="D26" s="6">
        <f>D25</f>
        <v>2</v>
      </c>
      <c r="E26" t="str">
        <f t="shared" ref="E26:E39" ca="1" si="12">IF(ISNA(VLOOKUP(D26,OFFSET($A$2:$C$6,0,$B11),2,FALSE)),"",VLOOKUP(D26,OFFSET($A$2:$C$6,0,$B11),2,FALSE))</f>
        <v/>
      </c>
      <c r="F26" s="32" t="str">
        <f t="shared" ref="F26:F39" ca="1" si="13">IF(ISNA(VLOOKUP(D26,OFFSET($A$2:$C$6,0,$B11),3,FALSE)),"",VLOOKUP(D26,OFFSET($A$2:$C$6,0,$B11),3,FALSE))</f>
        <v/>
      </c>
    </row>
    <row r="27" spans="1:6" x14ac:dyDescent="0.25">
      <c r="C27" s="6">
        <f t="shared" ca="1" si="11"/>
        <v>2</v>
      </c>
      <c r="D27" s="6">
        <f t="shared" ref="D27:D39" si="14">D26</f>
        <v>2</v>
      </c>
      <c r="E27" t="str">
        <f t="shared" ca="1" si="12"/>
        <v/>
      </c>
      <c r="F27" s="32" t="str">
        <f t="shared" ca="1" si="13"/>
        <v/>
      </c>
    </row>
    <row r="28" spans="1:6" x14ac:dyDescent="0.25">
      <c r="C28" s="6">
        <f t="shared" ca="1" si="11"/>
        <v>2</v>
      </c>
      <c r="D28" s="6">
        <f t="shared" si="14"/>
        <v>2</v>
      </c>
      <c r="E28" t="str">
        <f t="shared" ca="1" si="12"/>
        <v/>
      </c>
      <c r="F28" s="32" t="str">
        <f t="shared" ca="1" si="13"/>
        <v/>
      </c>
    </row>
    <row r="29" spans="1:6" x14ac:dyDescent="0.25">
      <c r="C29" s="6">
        <f t="shared" ca="1" si="11"/>
        <v>2</v>
      </c>
      <c r="D29" s="6">
        <f t="shared" si="14"/>
        <v>2</v>
      </c>
      <c r="E29" t="str">
        <f t="shared" ca="1" si="12"/>
        <v/>
      </c>
      <c r="F29" s="32" t="str">
        <f t="shared" ca="1" si="13"/>
        <v/>
      </c>
    </row>
    <row r="30" spans="1:6" x14ac:dyDescent="0.25">
      <c r="C30" s="6">
        <f t="shared" ca="1" si="11"/>
        <v>2</v>
      </c>
      <c r="D30" s="6">
        <f t="shared" si="14"/>
        <v>2</v>
      </c>
      <c r="E30" t="str">
        <f t="shared" ca="1" si="12"/>
        <v/>
      </c>
      <c r="F30" s="32" t="str">
        <f t="shared" ca="1" si="13"/>
        <v/>
      </c>
    </row>
    <row r="31" spans="1:6" x14ac:dyDescent="0.25">
      <c r="C31" s="6">
        <f t="shared" ca="1" si="11"/>
        <v>2</v>
      </c>
      <c r="D31" s="6">
        <f t="shared" si="14"/>
        <v>2</v>
      </c>
      <c r="E31" t="str">
        <f t="shared" ca="1" si="12"/>
        <v/>
      </c>
      <c r="F31" s="32" t="str">
        <f t="shared" ca="1" si="13"/>
        <v/>
      </c>
    </row>
    <row r="32" spans="1:6" x14ac:dyDescent="0.25">
      <c r="C32" s="6">
        <f t="shared" ca="1" si="11"/>
        <v>2</v>
      </c>
      <c r="D32" s="6">
        <f t="shared" si="14"/>
        <v>2</v>
      </c>
      <c r="E32" t="str">
        <f t="shared" ca="1" si="12"/>
        <v/>
      </c>
      <c r="F32" s="32" t="str">
        <f t="shared" ca="1" si="13"/>
        <v/>
      </c>
    </row>
    <row r="33" spans="3:6" x14ac:dyDescent="0.25">
      <c r="C33" s="6">
        <f t="shared" ca="1" si="11"/>
        <v>2</v>
      </c>
      <c r="D33" s="6">
        <f t="shared" si="14"/>
        <v>2</v>
      </c>
      <c r="E33" t="str">
        <f t="shared" ca="1" si="12"/>
        <v/>
      </c>
      <c r="F33" s="32" t="str">
        <f t="shared" ca="1" si="13"/>
        <v/>
      </c>
    </row>
    <row r="34" spans="3:6" x14ac:dyDescent="0.25">
      <c r="C34" s="6">
        <f t="shared" ca="1" si="11"/>
        <v>2</v>
      </c>
      <c r="D34" s="6">
        <f t="shared" si="14"/>
        <v>2</v>
      </c>
      <c r="E34" t="str">
        <f t="shared" ca="1" si="12"/>
        <v/>
      </c>
      <c r="F34" s="32" t="str">
        <f t="shared" ca="1" si="13"/>
        <v/>
      </c>
    </row>
    <row r="35" spans="3:6" x14ac:dyDescent="0.25">
      <c r="C35" s="6">
        <f t="shared" ca="1" si="11"/>
        <v>2</v>
      </c>
      <c r="D35" s="6">
        <f t="shared" si="14"/>
        <v>2</v>
      </c>
      <c r="E35" t="str">
        <f t="shared" ca="1" si="12"/>
        <v/>
      </c>
      <c r="F35" s="32" t="str">
        <f t="shared" ca="1" si="13"/>
        <v/>
      </c>
    </row>
    <row r="36" spans="3:6" x14ac:dyDescent="0.25">
      <c r="C36" s="6">
        <f t="shared" ca="1" si="11"/>
        <v>2</v>
      </c>
      <c r="D36" s="6">
        <f t="shared" si="14"/>
        <v>2</v>
      </c>
      <c r="E36" t="str">
        <f t="shared" ca="1" si="12"/>
        <v/>
      </c>
      <c r="F36" s="32" t="str">
        <f t="shared" ca="1" si="13"/>
        <v/>
      </c>
    </row>
    <row r="37" spans="3:6" x14ac:dyDescent="0.25">
      <c r="C37" s="6">
        <f t="shared" ca="1" si="11"/>
        <v>2</v>
      </c>
      <c r="D37" s="6">
        <f t="shared" si="14"/>
        <v>2</v>
      </c>
      <c r="E37" t="str">
        <f t="shared" ca="1" si="12"/>
        <v/>
      </c>
      <c r="F37" s="32" t="str">
        <f t="shared" ca="1" si="13"/>
        <v/>
      </c>
    </row>
    <row r="38" spans="3:6" x14ac:dyDescent="0.25">
      <c r="C38" s="6">
        <f t="shared" ca="1" si="11"/>
        <v>2</v>
      </c>
      <c r="D38" s="6">
        <f t="shared" si="14"/>
        <v>2</v>
      </c>
      <c r="E38" t="str">
        <f t="shared" ca="1" si="12"/>
        <v/>
      </c>
      <c r="F38" s="32" t="str">
        <f t="shared" ca="1" si="13"/>
        <v/>
      </c>
    </row>
    <row r="39" spans="3:6" x14ac:dyDescent="0.25">
      <c r="C39" s="6">
        <f t="shared" ca="1" si="11"/>
        <v>2</v>
      </c>
      <c r="D39" s="6">
        <f t="shared" si="14"/>
        <v>2</v>
      </c>
      <c r="E39" t="str">
        <f t="shared" ca="1" si="12"/>
        <v/>
      </c>
      <c r="F39" s="32" t="str">
        <f t="shared" ca="1" si="13"/>
        <v/>
      </c>
    </row>
    <row r="40" spans="3:6" x14ac:dyDescent="0.25">
      <c r="C40" s="6">
        <f t="shared" ca="1" si="11"/>
        <v>3</v>
      </c>
      <c r="D40" s="6">
        <f>D39+1</f>
        <v>3</v>
      </c>
      <c r="E40" t="str">
        <f ca="1">IF(ISNA(VLOOKUP(D40,OFFSET($A$2:$C$6,0,$B10),2,FALSE)),"",VLOOKUP(D40,OFFSET($A$2:$C$6,0,$B10),2,FALSE))</f>
        <v xml:space="preserve"> ()</v>
      </c>
      <c r="F40" s="32" t="str">
        <f ca="1">IF(ISNA(VLOOKUP(D40,OFFSET($A$2:$C$6,0,$B10),3,FALSE)),"",VLOOKUP(D40,OFFSET($A$2:$C$6,0,$B10),3,FALSE))</f>
        <v xml:space="preserve"> ()</v>
      </c>
    </row>
    <row r="41" spans="3:6" x14ac:dyDescent="0.25">
      <c r="C41" s="6">
        <f t="shared" ca="1" si="11"/>
        <v>4</v>
      </c>
      <c r="D41" s="6">
        <f>D40</f>
        <v>3</v>
      </c>
      <c r="E41" t="str">
        <f t="shared" ref="E41:E54" ca="1" si="15">IF(ISNA(VLOOKUP(D41,OFFSET($A$2:$C$6,0,$B11),2,FALSE)),"",VLOOKUP(D41,OFFSET($A$2:$C$6,0,$B11),2,FALSE))</f>
        <v xml:space="preserve"> ()</v>
      </c>
      <c r="F41" s="32" t="str">
        <f t="shared" ref="F41:F54" ca="1" si="16">IF(ISNA(VLOOKUP(D41,OFFSET($A$2:$C$6,0,$B11),3,FALSE)),"",VLOOKUP(D41,OFFSET($A$2:$C$6,0,$B11),3,FALSE))</f>
        <v xml:space="preserve"> ()</v>
      </c>
    </row>
    <row r="42" spans="3:6" x14ac:dyDescent="0.25">
      <c r="C42" s="6">
        <f t="shared" ca="1" si="11"/>
        <v>4</v>
      </c>
      <c r="D42" s="6">
        <f t="shared" ref="D42:D54" si="17">D41</f>
        <v>3</v>
      </c>
      <c r="E42" t="str">
        <f t="shared" ca="1" si="15"/>
        <v/>
      </c>
      <c r="F42" s="32" t="str">
        <f t="shared" ca="1" si="16"/>
        <v/>
      </c>
    </row>
    <row r="43" spans="3:6" x14ac:dyDescent="0.25">
      <c r="C43" s="6">
        <f t="shared" ca="1" si="11"/>
        <v>4</v>
      </c>
      <c r="D43" s="6">
        <f t="shared" si="17"/>
        <v>3</v>
      </c>
      <c r="E43" t="str">
        <f t="shared" ca="1" si="15"/>
        <v/>
      </c>
      <c r="F43" s="32" t="str">
        <f t="shared" ca="1" si="16"/>
        <v/>
      </c>
    </row>
    <row r="44" spans="3:6" x14ac:dyDescent="0.25">
      <c r="C44" s="6">
        <f t="shared" ca="1" si="11"/>
        <v>4</v>
      </c>
      <c r="D44" s="6">
        <f t="shared" si="17"/>
        <v>3</v>
      </c>
      <c r="E44" t="str">
        <f t="shared" ca="1" si="15"/>
        <v/>
      </c>
      <c r="F44" s="32" t="str">
        <f t="shared" ca="1" si="16"/>
        <v/>
      </c>
    </row>
    <row r="45" spans="3:6" x14ac:dyDescent="0.25">
      <c r="C45" s="6">
        <f t="shared" ca="1" si="11"/>
        <v>4</v>
      </c>
      <c r="D45" s="6">
        <f t="shared" si="17"/>
        <v>3</v>
      </c>
      <c r="E45" t="str">
        <f t="shared" ca="1" si="15"/>
        <v/>
      </c>
      <c r="F45" s="32" t="str">
        <f t="shared" ca="1" si="16"/>
        <v/>
      </c>
    </row>
    <row r="46" spans="3:6" x14ac:dyDescent="0.25">
      <c r="C46" s="6">
        <f t="shared" ca="1" si="11"/>
        <v>4</v>
      </c>
      <c r="D46" s="6">
        <f t="shared" si="17"/>
        <v>3</v>
      </c>
      <c r="E46" t="str">
        <f t="shared" ca="1" si="15"/>
        <v/>
      </c>
      <c r="F46" s="32" t="str">
        <f t="shared" ca="1" si="16"/>
        <v/>
      </c>
    </row>
    <row r="47" spans="3:6" x14ac:dyDescent="0.25">
      <c r="C47" s="6">
        <f t="shared" ca="1" si="11"/>
        <v>4</v>
      </c>
      <c r="D47" s="6">
        <f t="shared" si="17"/>
        <v>3</v>
      </c>
      <c r="E47" t="str">
        <f t="shared" ca="1" si="15"/>
        <v/>
      </c>
      <c r="F47" s="32" t="str">
        <f t="shared" ca="1" si="16"/>
        <v/>
      </c>
    </row>
    <row r="48" spans="3:6" x14ac:dyDescent="0.25">
      <c r="C48" s="6">
        <f t="shared" ca="1" si="11"/>
        <v>4</v>
      </c>
      <c r="D48" s="6">
        <f t="shared" si="17"/>
        <v>3</v>
      </c>
      <c r="E48" t="str">
        <f t="shared" ca="1" si="15"/>
        <v/>
      </c>
      <c r="F48" s="32" t="str">
        <f t="shared" ca="1" si="16"/>
        <v/>
      </c>
    </row>
    <row r="49" spans="3:6" x14ac:dyDescent="0.25">
      <c r="C49" s="6">
        <f t="shared" ca="1" si="11"/>
        <v>4</v>
      </c>
      <c r="D49" s="6">
        <f t="shared" si="17"/>
        <v>3</v>
      </c>
      <c r="E49" t="str">
        <f t="shared" ca="1" si="15"/>
        <v/>
      </c>
      <c r="F49" s="32" t="str">
        <f t="shared" ca="1" si="16"/>
        <v/>
      </c>
    </row>
    <row r="50" spans="3:6" x14ac:dyDescent="0.25">
      <c r="C50" s="6">
        <f t="shared" ca="1" si="11"/>
        <v>4</v>
      </c>
      <c r="D50" s="6">
        <f t="shared" si="17"/>
        <v>3</v>
      </c>
      <c r="E50" t="str">
        <f t="shared" ca="1" si="15"/>
        <v/>
      </c>
      <c r="F50" s="32" t="str">
        <f t="shared" ca="1" si="16"/>
        <v/>
      </c>
    </row>
    <row r="51" spans="3:6" x14ac:dyDescent="0.25">
      <c r="C51" s="6">
        <f t="shared" ca="1" si="11"/>
        <v>4</v>
      </c>
      <c r="D51" s="6">
        <f t="shared" si="17"/>
        <v>3</v>
      </c>
      <c r="E51" t="str">
        <f t="shared" ca="1" si="15"/>
        <v/>
      </c>
      <c r="F51" s="32" t="str">
        <f t="shared" ca="1" si="16"/>
        <v/>
      </c>
    </row>
    <row r="52" spans="3:6" x14ac:dyDescent="0.25">
      <c r="C52" s="6">
        <f t="shared" ca="1" si="11"/>
        <v>4</v>
      </c>
      <c r="D52" s="6">
        <f t="shared" si="17"/>
        <v>3</v>
      </c>
      <c r="E52" t="str">
        <f t="shared" ca="1" si="15"/>
        <v/>
      </c>
      <c r="F52" s="32" t="str">
        <f t="shared" ca="1" si="16"/>
        <v/>
      </c>
    </row>
    <row r="53" spans="3:6" x14ac:dyDescent="0.25">
      <c r="C53" s="6">
        <f t="shared" ca="1" si="11"/>
        <v>4</v>
      </c>
      <c r="D53" s="6">
        <f t="shared" si="17"/>
        <v>3</v>
      </c>
      <c r="E53" t="str">
        <f t="shared" ca="1" si="15"/>
        <v/>
      </c>
      <c r="F53" s="32" t="str">
        <f t="shared" ca="1" si="16"/>
        <v/>
      </c>
    </row>
    <row r="54" spans="3:6" x14ac:dyDescent="0.25">
      <c r="C54" s="6">
        <f t="shared" ca="1" si="11"/>
        <v>4</v>
      </c>
      <c r="D54" s="6">
        <f t="shared" si="17"/>
        <v>3</v>
      </c>
      <c r="E54" t="str">
        <f t="shared" ca="1" si="15"/>
        <v/>
      </c>
      <c r="F54" s="32" t="str">
        <f t="shared" ca="1" si="16"/>
        <v/>
      </c>
    </row>
    <row r="55" spans="3:6" x14ac:dyDescent="0.25">
      <c r="C55" s="6">
        <f t="shared" ca="1" si="11"/>
        <v>5</v>
      </c>
      <c r="D55" s="6">
        <f>D54+1</f>
        <v>4</v>
      </c>
      <c r="E55" t="str">
        <f ca="1">IF(ISNA(VLOOKUP(D55,OFFSET($A$2:$C$6,0,$B10),2,FALSE)),"",VLOOKUP(D55,OFFSET($A$2:$C$6,0,$B10),2,FALSE))</f>
        <v xml:space="preserve"> ()</v>
      </c>
      <c r="F55" s="32" t="str">
        <f ca="1">IF(ISNA(VLOOKUP(D55,OFFSET($A$2:$C$6,0,$B10),3,FALSE)),"",VLOOKUP(D55,OFFSET($A$2:$C$6,0,$B10),3,FALSE))</f>
        <v xml:space="preserve"> ()</v>
      </c>
    </row>
    <row r="56" spans="3:6" x14ac:dyDescent="0.25">
      <c r="C56" s="6">
        <f t="shared" ca="1" si="11"/>
        <v>6</v>
      </c>
      <c r="D56" s="6">
        <f>D55</f>
        <v>4</v>
      </c>
      <c r="E56" t="str">
        <f t="shared" ref="E56:E69" ca="1" si="18">IF(ISNA(VLOOKUP(D56,OFFSET($A$2:$C$6,0,$B11),2,FALSE)),"",VLOOKUP(D56,OFFSET($A$2:$C$6,0,$B11),2,FALSE))</f>
        <v xml:space="preserve"> ()</v>
      </c>
      <c r="F56" s="32" t="str">
        <f t="shared" ref="F56:F69" ca="1" si="19">IF(ISNA(VLOOKUP(D56,OFFSET($A$2:$C$6,0,$B11),3,FALSE)),"",VLOOKUP(D56,OFFSET($A$2:$C$6,0,$B11),3,FALSE))</f>
        <v xml:space="preserve"> ()</v>
      </c>
    </row>
    <row r="57" spans="3:6" x14ac:dyDescent="0.25">
      <c r="C57" s="6">
        <f t="shared" ca="1" si="11"/>
        <v>6</v>
      </c>
      <c r="D57" s="6">
        <f t="shared" ref="D57:D69" si="20">D56</f>
        <v>4</v>
      </c>
      <c r="E57" t="str">
        <f t="shared" ca="1" si="18"/>
        <v/>
      </c>
      <c r="F57" s="32" t="str">
        <f t="shared" ca="1" si="19"/>
        <v/>
      </c>
    </row>
    <row r="58" spans="3:6" x14ac:dyDescent="0.25">
      <c r="C58" s="6">
        <f t="shared" ca="1" si="11"/>
        <v>6</v>
      </c>
      <c r="D58" s="6">
        <f t="shared" si="20"/>
        <v>4</v>
      </c>
      <c r="E58" t="str">
        <f t="shared" ca="1" si="18"/>
        <v/>
      </c>
      <c r="F58" s="32" t="str">
        <f t="shared" ca="1" si="19"/>
        <v/>
      </c>
    </row>
    <row r="59" spans="3:6" x14ac:dyDescent="0.25">
      <c r="C59" s="6">
        <f t="shared" ca="1" si="11"/>
        <v>6</v>
      </c>
      <c r="D59" s="6">
        <f t="shared" si="20"/>
        <v>4</v>
      </c>
      <c r="E59" t="str">
        <f t="shared" ca="1" si="18"/>
        <v/>
      </c>
      <c r="F59" s="32" t="str">
        <f t="shared" ca="1" si="19"/>
        <v/>
      </c>
    </row>
    <row r="60" spans="3:6" x14ac:dyDescent="0.25">
      <c r="C60" s="6">
        <f t="shared" ca="1" si="11"/>
        <v>6</v>
      </c>
      <c r="D60" s="6">
        <f t="shared" si="20"/>
        <v>4</v>
      </c>
      <c r="E60" t="str">
        <f t="shared" ca="1" si="18"/>
        <v/>
      </c>
      <c r="F60" s="32" t="str">
        <f t="shared" ca="1" si="19"/>
        <v/>
      </c>
    </row>
    <row r="61" spans="3:6" x14ac:dyDescent="0.25">
      <c r="C61" s="6">
        <f t="shared" ca="1" si="11"/>
        <v>6</v>
      </c>
      <c r="D61" s="6">
        <f t="shared" si="20"/>
        <v>4</v>
      </c>
      <c r="E61" t="str">
        <f t="shared" ca="1" si="18"/>
        <v/>
      </c>
      <c r="F61" s="32" t="str">
        <f t="shared" ca="1" si="19"/>
        <v/>
      </c>
    </row>
    <row r="62" spans="3:6" x14ac:dyDescent="0.25">
      <c r="C62" s="6">
        <f t="shared" ca="1" si="11"/>
        <v>6</v>
      </c>
      <c r="D62" s="6">
        <f t="shared" si="20"/>
        <v>4</v>
      </c>
      <c r="E62" t="str">
        <f t="shared" ca="1" si="18"/>
        <v/>
      </c>
      <c r="F62" s="32" t="str">
        <f t="shared" ca="1" si="19"/>
        <v/>
      </c>
    </row>
    <row r="63" spans="3:6" x14ac:dyDescent="0.25">
      <c r="C63" s="6">
        <f t="shared" ca="1" si="11"/>
        <v>6</v>
      </c>
      <c r="D63" s="6">
        <f t="shared" si="20"/>
        <v>4</v>
      </c>
      <c r="E63" t="str">
        <f t="shared" ca="1" si="18"/>
        <v/>
      </c>
      <c r="F63" s="32" t="str">
        <f t="shared" ca="1" si="19"/>
        <v/>
      </c>
    </row>
    <row r="64" spans="3:6" x14ac:dyDescent="0.25">
      <c r="C64" s="6">
        <f t="shared" ca="1" si="11"/>
        <v>6</v>
      </c>
      <c r="D64" s="6">
        <f t="shared" si="20"/>
        <v>4</v>
      </c>
      <c r="E64" t="str">
        <f t="shared" ca="1" si="18"/>
        <v/>
      </c>
      <c r="F64" s="32" t="str">
        <f t="shared" ca="1" si="19"/>
        <v/>
      </c>
    </row>
    <row r="65" spans="3:6" x14ac:dyDescent="0.25">
      <c r="C65" s="6">
        <f t="shared" ca="1" si="11"/>
        <v>6</v>
      </c>
      <c r="D65" s="6">
        <f t="shared" si="20"/>
        <v>4</v>
      </c>
      <c r="E65" t="str">
        <f t="shared" ca="1" si="18"/>
        <v/>
      </c>
      <c r="F65" s="32" t="str">
        <f t="shared" ca="1" si="19"/>
        <v/>
      </c>
    </row>
    <row r="66" spans="3:6" x14ac:dyDescent="0.25">
      <c r="C66" s="6">
        <f t="shared" ca="1" si="11"/>
        <v>6</v>
      </c>
      <c r="D66" s="6">
        <f t="shared" si="20"/>
        <v>4</v>
      </c>
      <c r="E66" t="str">
        <f t="shared" ca="1" si="18"/>
        <v/>
      </c>
      <c r="F66" s="32" t="str">
        <f t="shared" ca="1" si="19"/>
        <v/>
      </c>
    </row>
    <row r="67" spans="3:6" x14ac:dyDescent="0.25">
      <c r="C67" s="6">
        <f t="shared" ca="1" si="11"/>
        <v>6</v>
      </c>
      <c r="D67" s="6">
        <f t="shared" si="20"/>
        <v>4</v>
      </c>
      <c r="E67" t="str">
        <f t="shared" ca="1" si="18"/>
        <v/>
      </c>
      <c r="F67" s="32" t="str">
        <f t="shared" ca="1" si="19"/>
        <v/>
      </c>
    </row>
    <row r="68" spans="3:6" x14ac:dyDescent="0.25">
      <c r="C68" s="6">
        <f t="shared" ca="1" si="11"/>
        <v>6</v>
      </c>
      <c r="D68" s="6">
        <f t="shared" si="20"/>
        <v>4</v>
      </c>
      <c r="E68" t="str">
        <f t="shared" ca="1" si="18"/>
        <v/>
      </c>
      <c r="F68" s="32" t="str">
        <f t="shared" ca="1" si="19"/>
        <v/>
      </c>
    </row>
    <row r="69" spans="3:6" x14ac:dyDescent="0.25">
      <c r="C69" s="6">
        <f t="shared" ca="1" si="11"/>
        <v>6</v>
      </c>
      <c r="D69" s="6">
        <f t="shared" si="20"/>
        <v>4</v>
      </c>
      <c r="E69" t="str">
        <f t="shared" ca="1" si="18"/>
        <v/>
      </c>
      <c r="F69" s="32" t="str">
        <f t="shared" ca="1" si="19"/>
        <v/>
      </c>
    </row>
    <row r="70" spans="3:6" x14ac:dyDescent="0.25">
      <c r="C70" s="6">
        <f t="shared" ca="1" si="11"/>
        <v>7</v>
      </c>
      <c r="D70" s="6">
        <f>D69+1</f>
        <v>5</v>
      </c>
      <c r="E70" t="str">
        <f ca="1">IF(ISNA(VLOOKUP(D70,OFFSET($A$2:$C$6,0,$B10),2,FALSE)),"",VLOOKUP(D70,OFFSET($A$2:$C$6,0,$B10),2,FALSE))</f>
        <v xml:space="preserve"> ()</v>
      </c>
      <c r="F70" s="32">
        <f ca="1">IF(ISNA(VLOOKUP(D70,OFFSET($A$2:$C$6,0,$B10),3,FALSE)),"",VLOOKUP(D70,OFFSET($A$2:$C$6,0,$B10),3,FALSE))</f>
        <v>0</v>
      </c>
    </row>
    <row r="71" spans="3:6" x14ac:dyDescent="0.25">
      <c r="C71" s="6">
        <f t="shared" ca="1" si="11"/>
        <v>8</v>
      </c>
      <c r="D71" s="6">
        <f>D70</f>
        <v>5</v>
      </c>
      <c r="E71" t="str">
        <f t="shared" ref="E71:E84" ca="1" si="21">IF(ISNA(VLOOKUP(D71,OFFSET($A$2:$C$6,0,$B11),2,FALSE)),"",VLOOKUP(D71,OFFSET($A$2:$C$6,0,$B11),2,FALSE))</f>
        <v xml:space="preserve"> ()</v>
      </c>
      <c r="F71" s="32" t="str">
        <f t="shared" ref="F71:F84" ca="1" si="22">IF(ISNA(VLOOKUP(D71,OFFSET($A$2:$C$6,0,$B11),3,FALSE)),"",VLOOKUP(D71,OFFSET($A$2:$C$6,0,$B11),3,FALSE))</f>
        <v xml:space="preserve"> ()</v>
      </c>
    </row>
    <row r="72" spans="3:6" x14ac:dyDescent="0.25">
      <c r="C72" s="6">
        <f t="shared" ca="1" si="11"/>
        <v>9</v>
      </c>
      <c r="D72" s="6">
        <f t="shared" ref="D72:D84" si="23">D71</f>
        <v>5</v>
      </c>
      <c r="E72" t="str">
        <f t="shared" ca="1" si="21"/>
        <v xml:space="preserve"> ()</v>
      </c>
      <c r="F72" s="32" t="str">
        <f t="shared" ca="1" si="22"/>
        <v xml:space="preserve"> ()</v>
      </c>
    </row>
    <row r="73" spans="3:6" x14ac:dyDescent="0.25">
      <c r="C73" s="6">
        <f t="shared" ca="1" si="11"/>
        <v>9</v>
      </c>
      <c r="D73" s="6">
        <f t="shared" si="23"/>
        <v>5</v>
      </c>
      <c r="E73" t="str">
        <f t="shared" ca="1" si="21"/>
        <v/>
      </c>
      <c r="F73" s="32" t="str">
        <f t="shared" ca="1" si="22"/>
        <v/>
      </c>
    </row>
    <row r="74" spans="3:6" x14ac:dyDescent="0.25">
      <c r="C74" s="6">
        <f t="shared" ca="1" si="11"/>
        <v>9</v>
      </c>
      <c r="D74" s="6">
        <f t="shared" si="23"/>
        <v>5</v>
      </c>
      <c r="E74" t="str">
        <f t="shared" ca="1" si="21"/>
        <v/>
      </c>
      <c r="F74" s="32" t="str">
        <f t="shared" ca="1" si="22"/>
        <v/>
      </c>
    </row>
    <row r="75" spans="3:6" x14ac:dyDescent="0.25">
      <c r="C75" s="6">
        <f ca="1">IF(E75="",C74,C74+1)</f>
        <v>9</v>
      </c>
      <c r="D75" s="6">
        <f t="shared" si="23"/>
        <v>5</v>
      </c>
      <c r="E75" t="str">
        <f t="shared" ca="1" si="21"/>
        <v/>
      </c>
      <c r="F75" s="32" t="str">
        <f ca="1">IF(ISNA(VLOOKUP(D75,OFFSET($A$2:$C$6,0,$B15),3,FALSE)),"",VLOOKUP(D75,OFFSET($A$2:$C$6,0,$B15),3,FALSE))</f>
        <v/>
      </c>
    </row>
    <row r="76" spans="3:6" x14ac:dyDescent="0.25">
      <c r="C76" s="6">
        <f t="shared" ca="1" si="11"/>
        <v>9</v>
      </c>
      <c r="D76" s="6">
        <f t="shared" si="23"/>
        <v>5</v>
      </c>
      <c r="E76" t="str">
        <f t="shared" ca="1" si="21"/>
        <v/>
      </c>
      <c r="F76" s="32" t="str">
        <f t="shared" ca="1" si="22"/>
        <v/>
      </c>
    </row>
    <row r="77" spans="3:6" x14ac:dyDescent="0.25">
      <c r="C77" s="6">
        <f t="shared" ref="C77:C99" ca="1" si="24">IF(E77="",C76,C76+1)</f>
        <v>9</v>
      </c>
      <c r="D77" s="6">
        <f t="shared" si="23"/>
        <v>5</v>
      </c>
      <c r="E77" t="str">
        <f t="shared" ca="1" si="21"/>
        <v/>
      </c>
      <c r="F77" s="32" t="str">
        <f t="shared" ca="1" si="22"/>
        <v/>
      </c>
    </row>
    <row r="78" spans="3:6" x14ac:dyDescent="0.25">
      <c r="C78" s="6">
        <f t="shared" ca="1" si="24"/>
        <v>9</v>
      </c>
      <c r="D78" s="6">
        <f t="shared" si="23"/>
        <v>5</v>
      </c>
      <c r="E78" t="str">
        <f t="shared" ca="1" si="21"/>
        <v/>
      </c>
      <c r="F78" s="32" t="str">
        <f t="shared" ca="1" si="22"/>
        <v/>
      </c>
    </row>
    <row r="79" spans="3:6" x14ac:dyDescent="0.25">
      <c r="C79" s="6">
        <f t="shared" ca="1" si="24"/>
        <v>9</v>
      </c>
      <c r="D79" s="6">
        <f t="shared" si="23"/>
        <v>5</v>
      </c>
      <c r="E79" t="str">
        <f t="shared" ca="1" si="21"/>
        <v/>
      </c>
      <c r="F79" s="32" t="str">
        <f t="shared" ca="1" si="22"/>
        <v/>
      </c>
    </row>
    <row r="80" spans="3:6" x14ac:dyDescent="0.25">
      <c r="C80" s="6">
        <f t="shared" ca="1" si="24"/>
        <v>9</v>
      </c>
      <c r="D80" s="6">
        <f t="shared" si="23"/>
        <v>5</v>
      </c>
      <c r="E80" t="str">
        <f t="shared" ca="1" si="21"/>
        <v/>
      </c>
      <c r="F80" s="32" t="str">
        <f t="shared" ca="1" si="22"/>
        <v/>
      </c>
    </row>
    <row r="81" spans="3:6" x14ac:dyDescent="0.25">
      <c r="C81" s="6">
        <f t="shared" ca="1" si="24"/>
        <v>9</v>
      </c>
      <c r="D81" s="6">
        <f t="shared" si="23"/>
        <v>5</v>
      </c>
      <c r="E81" t="str">
        <f t="shared" ca="1" si="21"/>
        <v/>
      </c>
      <c r="F81" s="32" t="str">
        <f t="shared" ca="1" si="22"/>
        <v/>
      </c>
    </row>
    <row r="82" spans="3:6" x14ac:dyDescent="0.25">
      <c r="C82" s="6">
        <f t="shared" ca="1" si="24"/>
        <v>9</v>
      </c>
      <c r="D82" s="6">
        <f t="shared" si="23"/>
        <v>5</v>
      </c>
      <c r="E82" t="str">
        <f t="shared" ca="1" si="21"/>
        <v/>
      </c>
      <c r="F82" s="32" t="str">
        <f t="shared" ca="1" si="22"/>
        <v/>
      </c>
    </row>
    <row r="83" spans="3:6" x14ac:dyDescent="0.25">
      <c r="C83" s="6">
        <f t="shared" ca="1" si="24"/>
        <v>9</v>
      </c>
      <c r="D83" s="6">
        <f t="shared" si="23"/>
        <v>5</v>
      </c>
      <c r="E83" t="str">
        <f t="shared" ca="1" si="21"/>
        <v/>
      </c>
      <c r="F83" s="32" t="str">
        <f t="shared" ca="1" si="22"/>
        <v/>
      </c>
    </row>
    <row r="84" spans="3:6" x14ac:dyDescent="0.25">
      <c r="C84" s="6">
        <f ca="1">IF(E84="",C83,C83+1)</f>
        <v>9</v>
      </c>
      <c r="D84" s="6">
        <f t="shared" si="23"/>
        <v>5</v>
      </c>
      <c r="E84" t="str">
        <f t="shared" ca="1" si="21"/>
        <v/>
      </c>
      <c r="F84" s="32" t="str">
        <f t="shared" ca="1" si="22"/>
        <v/>
      </c>
    </row>
    <row r="85" spans="3:6" x14ac:dyDescent="0.25">
      <c r="C85" s="6">
        <f t="shared" ca="1" si="24"/>
        <v>9</v>
      </c>
      <c r="D85" s="6">
        <f>D84+1</f>
        <v>6</v>
      </c>
      <c r="E85" t="str">
        <f ca="1">IF(ISNA(VLOOKUP(D85,OFFSET($A$2:$C$6,0,$B10),2,FALSE)),"",VLOOKUP(D85,OFFSET($A$2:$C$6,0,$B10),2,FALSE))</f>
        <v/>
      </c>
      <c r="F85" s="32" t="str">
        <f ca="1">IF(ISNA(VLOOKUP(D85,OFFSET($A$2:$C$6,0,$B10),3,FALSE)),"",VLOOKUP(D85,OFFSET($A$2:$C$6,0,$B10),3,FALSE))</f>
        <v/>
      </c>
    </row>
    <row r="86" spans="3:6" x14ac:dyDescent="0.25">
      <c r="C86" s="6">
        <f t="shared" ca="1" si="24"/>
        <v>10</v>
      </c>
      <c r="D86" s="6">
        <f>D85</f>
        <v>6</v>
      </c>
      <c r="E86">
        <f t="shared" ref="E86:E99" ca="1" si="25">IF(ISNA(VLOOKUP(D86,OFFSET($A$2:$C$6,0,$B11),2,FALSE)),"",VLOOKUP(D86,OFFSET($A$2:$C$6,0,$B11),2,FALSE))</f>
        <v>0</v>
      </c>
      <c r="F86" s="32" t="str">
        <f t="shared" ref="F86:F99" ca="1" si="26">IF(ISNA(VLOOKUP(D86,OFFSET($A$2:$C$6,0,$B11),3,FALSE)),"",VLOOKUP(D86,OFFSET($A$2:$C$6,0,$B11),3,FALSE))</f>
        <v xml:space="preserve"> ()</v>
      </c>
    </row>
    <row r="87" spans="3:6" x14ac:dyDescent="0.25">
      <c r="C87" s="6">
        <f t="shared" ca="1" si="24"/>
        <v>11</v>
      </c>
      <c r="D87" s="6">
        <f t="shared" ref="D87:D99" si="27">D86</f>
        <v>6</v>
      </c>
      <c r="E87" t="str">
        <f t="shared" ca="1" si="25"/>
        <v xml:space="preserve"> ()</v>
      </c>
      <c r="F87" s="32" t="str">
        <f t="shared" ca="1" si="26"/>
        <v xml:space="preserve"> ()</v>
      </c>
    </row>
    <row r="88" spans="3:6" x14ac:dyDescent="0.25">
      <c r="C88" s="6">
        <f t="shared" ca="1" si="24"/>
        <v>11</v>
      </c>
      <c r="D88" s="6">
        <f t="shared" si="27"/>
        <v>6</v>
      </c>
      <c r="E88" t="str">
        <f t="shared" ca="1" si="25"/>
        <v/>
      </c>
      <c r="F88" s="32" t="str">
        <f t="shared" ca="1" si="26"/>
        <v/>
      </c>
    </row>
    <row r="89" spans="3:6" x14ac:dyDescent="0.25">
      <c r="C89" s="6">
        <f t="shared" ca="1" si="24"/>
        <v>11</v>
      </c>
      <c r="D89" s="6">
        <f t="shared" si="27"/>
        <v>6</v>
      </c>
      <c r="E89" t="str">
        <f t="shared" ca="1" si="25"/>
        <v/>
      </c>
      <c r="F89" s="32" t="str">
        <f t="shared" ca="1" si="26"/>
        <v/>
      </c>
    </row>
    <row r="90" spans="3:6" x14ac:dyDescent="0.25">
      <c r="C90" s="6">
        <f t="shared" ca="1" si="24"/>
        <v>11</v>
      </c>
      <c r="D90" s="6">
        <f t="shared" si="27"/>
        <v>6</v>
      </c>
      <c r="E90" t="str">
        <f ca="1">IF(ISNA(VLOOKUP(D90,OFFSET($A$2:$C$6,0,$B15),2,FALSE)),"",VLOOKUP(D90,OFFSET($A$2:$C$6,0,$B15),2,FALSE))</f>
        <v/>
      </c>
      <c r="F90" s="32" t="str">
        <f t="shared" ca="1" si="26"/>
        <v/>
      </c>
    </row>
    <row r="91" spans="3:6" x14ac:dyDescent="0.25">
      <c r="C91" s="6">
        <f t="shared" ca="1" si="24"/>
        <v>11</v>
      </c>
      <c r="D91" s="6">
        <f t="shared" si="27"/>
        <v>6</v>
      </c>
      <c r="E91" t="str">
        <f t="shared" ca="1" si="25"/>
        <v/>
      </c>
      <c r="F91" s="32" t="str">
        <f t="shared" ca="1" si="26"/>
        <v/>
      </c>
    </row>
    <row r="92" spans="3:6" x14ac:dyDescent="0.25">
      <c r="C92" s="6">
        <f t="shared" ca="1" si="24"/>
        <v>11</v>
      </c>
      <c r="D92" s="6">
        <f t="shared" si="27"/>
        <v>6</v>
      </c>
      <c r="E92" t="str">
        <f t="shared" ca="1" si="25"/>
        <v/>
      </c>
      <c r="F92" s="32" t="str">
        <f t="shared" ca="1" si="26"/>
        <v/>
      </c>
    </row>
    <row r="93" spans="3:6" x14ac:dyDescent="0.25">
      <c r="C93" s="6">
        <f t="shared" ca="1" si="24"/>
        <v>11</v>
      </c>
      <c r="D93" s="6">
        <f t="shared" si="27"/>
        <v>6</v>
      </c>
      <c r="E93" t="str">
        <f t="shared" ca="1" si="25"/>
        <v/>
      </c>
      <c r="F93" s="32" t="str">
        <f t="shared" ca="1" si="26"/>
        <v/>
      </c>
    </row>
    <row r="94" spans="3:6" x14ac:dyDescent="0.25">
      <c r="C94" s="6">
        <f t="shared" ca="1" si="24"/>
        <v>11</v>
      </c>
      <c r="D94" s="6">
        <f t="shared" si="27"/>
        <v>6</v>
      </c>
      <c r="E94" t="str">
        <f t="shared" ca="1" si="25"/>
        <v/>
      </c>
      <c r="F94" s="32" t="str">
        <f t="shared" ca="1" si="26"/>
        <v/>
      </c>
    </row>
    <row r="95" spans="3:6" x14ac:dyDescent="0.25">
      <c r="C95" s="6">
        <f t="shared" ca="1" si="24"/>
        <v>11</v>
      </c>
      <c r="D95" s="6">
        <f t="shared" si="27"/>
        <v>6</v>
      </c>
      <c r="E95" t="str">
        <f t="shared" ca="1" si="25"/>
        <v/>
      </c>
      <c r="F95" s="32" t="str">
        <f t="shared" ca="1" si="26"/>
        <v/>
      </c>
    </row>
    <row r="96" spans="3:6" x14ac:dyDescent="0.25">
      <c r="C96" s="6">
        <f t="shared" ca="1" si="24"/>
        <v>11</v>
      </c>
      <c r="D96" s="6">
        <f t="shared" si="27"/>
        <v>6</v>
      </c>
      <c r="E96" t="str">
        <f t="shared" ca="1" si="25"/>
        <v/>
      </c>
      <c r="F96" s="32" t="str">
        <f t="shared" ca="1" si="26"/>
        <v/>
      </c>
    </row>
    <row r="97" spans="3:6" x14ac:dyDescent="0.25">
      <c r="C97" s="6">
        <f t="shared" ca="1" si="24"/>
        <v>11</v>
      </c>
      <c r="D97" s="6">
        <f t="shared" si="27"/>
        <v>6</v>
      </c>
      <c r="E97" t="str">
        <f t="shared" ca="1" si="25"/>
        <v/>
      </c>
      <c r="F97" s="32" t="str">
        <f t="shared" ca="1" si="26"/>
        <v/>
      </c>
    </row>
    <row r="98" spans="3:6" x14ac:dyDescent="0.25">
      <c r="C98" s="6">
        <f t="shared" ca="1" si="24"/>
        <v>11</v>
      </c>
      <c r="D98" s="6">
        <f t="shared" si="27"/>
        <v>6</v>
      </c>
      <c r="E98" t="str">
        <f t="shared" ca="1" si="25"/>
        <v/>
      </c>
      <c r="F98" s="32" t="str">
        <f t="shared" ca="1" si="26"/>
        <v/>
      </c>
    </row>
    <row r="99" spans="3:6" x14ac:dyDescent="0.25">
      <c r="C99" s="6">
        <f t="shared" ca="1" si="24"/>
        <v>11</v>
      </c>
      <c r="D99" s="6">
        <f t="shared" si="27"/>
        <v>6</v>
      </c>
      <c r="E99" t="str">
        <f t="shared" ca="1" si="25"/>
        <v/>
      </c>
      <c r="F99" s="32" t="str">
        <f t="shared" ca="1" si="26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8"/>
  </sheetPr>
  <dimension ref="A1:BD193"/>
  <sheetViews>
    <sheetView showGridLines="0" workbookViewId="0">
      <selection activeCell="S16" sqref="S16"/>
    </sheetView>
  </sheetViews>
  <sheetFormatPr defaultRowHeight="15" x14ac:dyDescent="0.25"/>
  <cols>
    <col min="1" max="1" width="7.7109375" style="65" bestFit="1" customWidth="1"/>
    <col min="2" max="2" width="25.140625" style="65" bestFit="1" customWidth="1"/>
    <col min="3" max="10" width="6.7109375" style="65" customWidth="1"/>
    <col min="11" max="11" width="9.140625" style="65"/>
    <col min="12" max="12" width="3.85546875" style="65" bestFit="1" customWidth="1"/>
    <col min="13" max="13" width="25.140625" style="51" bestFit="1" customWidth="1"/>
    <col min="14" max="15" width="4.7109375" style="51" customWidth="1"/>
    <col min="16" max="16" width="25.140625" style="51" bestFit="1" customWidth="1"/>
    <col min="17" max="17" width="3.140625" style="65" customWidth="1"/>
    <col min="18" max="18" width="18.140625" style="51" customWidth="1"/>
    <col min="19" max="20" width="4.7109375" style="51" customWidth="1"/>
    <col min="21" max="21" width="18.140625" style="51" customWidth="1"/>
    <col min="22" max="56" width="9.140625" style="65"/>
    <col min="57" max="16384" width="9.140625" style="51"/>
  </cols>
  <sheetData>
    <row r="1" spans="1:21" s="65" customFormat="1" x14ac:dyDescent="0.25"/>
    <row r="2" spans="1:21" s="65" customFormat="1" x14ac:dyDescent="0.25"/>
    <row r="3" spans="1:21" s="65" customFormat="1" x14ac:dyDescent="0.25"/>
    <row r="4" spans="1:21" s="65" customFormat="1" x14ac:dyDescent="0.25"/>
    <row r="5" spans="1:21" s="65" customFormat="1" ht="22.5" x14ac:dyDescent="0.3">
      <c r="A5" s="136" t="s">
        <v>35</v>
      </c>
      <c r="B5" s="136"/>
      <c r="C5" s="136"/>
      <c r="D5" s="136"/>
      <c r="E5" s="136"/>
      <c r="F5" s="136"/>
      <c r="G5" s="136"/>
      <c r="H5" s="136"/>
      <c r="I5" s="136"/>
      <c r="J5" s="136"/>
    </row>
    <row r="6" spans="1:21" s="65" customFormat="1" x14ac:dyDescent="0.25">
      <c r="A6" s="75" t="s">
        <v>25</v>
      </c>
      <c r="B6" s="75" t="s">
        <v>26</v>
      </c>
      <c r="C6" s="75" t="s">
        <v>27</v>
      </c>
      <c r="D6" s="75" t="s">
        <v>28</v>
      </c>
      <c r="E6" s="75" t="s">
        <v>29</v>
      </c>
      <c r="F6" s="75" t="s">
        <v>30</v>
      </c>
      <c r="G6" s="75" t="s">
        <v>31</v>
      </c>
      <c r="H6" s="75" t="s">
        <v>32</v>
      </c>
      <c r="I6" s="75" t="s">
        <v>33</v>
      </c>
      <c r="J6" s="75" t="s">
        <v>34</v>
      </c>
      <c r="L6" s="75" t="s">
        <v>36</v>
      </c>
      <c r="M6" s="75" t="s">
        <v>37</v>
      </c>
      <c r="N6" s="130" t="s">
        <v>38</v>
      </c>
      <c r="O6" s="130"/>
      <c r="P6" s="75" t="s">
        <v>39</v>
      </c>
      <c r="R6" s="130" t="s">
        <v>40</v>
      </c>
      <c r="S6" s="130"/>
      <c r="T6" s="130"/>
      <c r="U6" s="130"/>
    </row>
    <row r="7" spans="1:21" x14ac:dyDescent="0.25">
      <c r="A7" s="67">
        <f ca="1">OFFSET('Rangiranje A'!$AB$3,MATCH(SMALL('Rangiranje A'!$B$3:$B$8,ROW()-ROW(A$7)+1),'Rangiranje A'!$B$3:$B$8,0)-1,0)</f>
        <v>1</v>
      </c>
      <c r="B7" s="71" t="str">
        <f ca="1">OFFSET('Rangiranje A'!A$3,MATCH(SMALL('Rangiranje A'!B$3:B$8,ROW()-ROW(B$7)+1),'Rangiranje A'!B$3:B$8,0)-1,0)</f>
        <v>0 ()</v>
      </c>
      <c r="C7" s="67">
        <f ca="1">IF($A7&lt;&gt;"",VLOOKUP($B7,'Rangiranje A'!$A$3:$Z$8,COLUMN(),FALSE),"")</f>
        <v>0</v>
      </c>
      <c r="D7" s="67">
        <f ca="1">IF($A7&lt;&gt;"",VLOOKUP($B7,'Rangiranje A'!$A$3:$Z$8,COLUMN(),FALSE),"")</f>
        <v>0</v>
      </c>
      <c r="E7" s="67">
        <f ca="1">IF($A7&lt;&gt;"",VLOOKUP($B7,'Rangiranje A'!$A$3:$Z$8,COLUMN(),FALSE),"")</f>
        <v>0</v>
      </c>
      <c r="F7" s="67">
        <f ca="1">IF($A7&lt;&gt;"",VLOOKUP($B7,'Rangiranje A'!$A$3:$Z$8,COLUMN(),FALSE),"")</f>
        <v>0</v>
      </c>
      <c r="G7" s="67">
        <f ca="1">IF($A7&lt;&gt;"",VLOOKUP($B7,'Rangiranje A'!$A$3:$Z$8,COLUMN(),FALSE),"")</f>
        <v>0</v>
      </c>
      <c r="H7" s="67">
        <f ca="1">IF($A7&lt;&gt;"",VLOOKUP($B7,'Rangiranje A'!$A$3:$Z$8,COLUMN(),FALSE),"")</f>
        <v>0</v>
      </c>
      <c r="I7" s="67">
        <f ca="1">IF($A7&lt;&gt;"",VLOOKUP($B7,'Rangiranje A'!$A$3:$Z$8,COLUMN(),FALSE),"")</f>
        <v>0</v>
      </c>
      <c r="J7" s="67">
        <f ca="1">IF($A7&lt;&gt;"",VLOOKUP($B7,'Rangiranje A'!$A$3:$Z$8,COLUMN(),FALSE),"")</f>
        <v>0</v>
      </c>
      <c r="L7" s="72">
        <f>IF(Informacije!$D$11&gt;=3,1,"")</f>
        <v>1</v>
      </c>
      <c r="M7" s="73" t="str">
        <f ca="1">IF(L7&lt;&gt;"",VLOOKUP(L7,'Utakmice A'!$C$10:$F$99,3,FALSE),"")</f>
        <v xml:space="preserve"> ()</v>
      </c>
      <c r="N7" s="62"/>
      <c r="O7" s="63"/>
      <c r="P7" s="73" t="str">
        <f ca="1">IF(L7&lt;&gt;"",VLOOKUP(L7,'Utakmice A'!$C$10:$F$99,4,FALSE),"")</f>
        <v xml:space="preserve"> ()</v>
      </c>
      <c r="R7" s="60"/>
      <c r="S7" s="75" t="str">
        <f>IF(S8="","",SUM(S8:S9))</f>
        <v/>
      </c>
      <c r="T7" s="75" t="str">
        <f>IF(T8="","",SUM(T8:T10))</f>
        <v/>
      </c>
      <c r="U7" s="60"/>
    </row>
    <row r="8" spans="1:21" x14ac:dyDescent="0.25">
      <c r="A8" s="67">
        <f ca="1">OFFSET('Rangiranje A'!$AB$3,MATCH(SMALL('Rangiranje A'!$B$3:$B$8,ROW()-ROW(A$7)+1),'Rangiranje A'!$B$3:$B$8,0)-1,0)</f>
        <v>1</v>
      </c>
      <c r="B8" s="71" t="str">
        <f ca="1">OFFSET('Rangiranje A'!A$3,MATCH(SMALL('Rangiranje A'!B$3:B$8,ROW()-ROW(B$7)+1),'Rangiranje A'!B$3:B$8,0)-1,0)</f>
        <v>0 ()</v>
      </c>
      <c r="C8" s="67">
        <f ca="1">IF($A8&lt;&gt;"",VLOOKUP($B8,'Rangiranje A'!$A$3:$Z$8,COLUMN(),FALSE),"")</f>
        <v>0</v>
      </c>
      <c r="D8" s="67">
        <f ca="1">IF($A8&lt;&gt;"",VLOOKUP($B8,'Rangiranje A'!$A$3:$Z$8,COLUMN(),FALSE),"")</f>
        <v>0</v>
      </c>
      <c r="E8" s="67">
        <f ca="1">IF($A8&lt;&gt;"",VLOOKUP($B8,'Rangiranje A'!$A$3:$Z$8,COLUMN(),FALSE),"")</f>
        <v>0</v>
      </c>
      <c r="F8" s="67">
        <f ca="1">IF($A8&lt;&gt;"",VLOOKUP($B8,'Rangiranje A'!$A$3:$Z$8,COLUMN(),FALSE),"")</f>
        <v>0</v>
      </c>
      <c r="G8" s="67">
        <f ca="1">IF($A8&lt;&gt;"",VLOOKUP($B8,'Rangiranje A'!$A$3:$Z$8,COLUMN(),FALSE),"")</f>
        <v>0</v>
      </c>
      <c r="H8" s="67">
        <f ca="1">IF($A8&lt;&gt;"",VLOOKUP($B8,'Rangiranje A'!$A$3:$Z$8,COLUMN(),FALSE),"")</f>
        <v>0</v>
      </c>
      <c r="I8" s="67">
        <f ca="1">IF($A8&lt;&gt;"",VLOOKUP($B8,'Rangiranje A'!$A$3:$Z$8,COLUMN(),FALSE),"")</f>
        <v>0</v>
      </c>
      <c r="J8" s="67">
        <f ca="1">IF($A8&lt;&gt;"",VLOOKUP($B8,'Rangiranje A'!$A$3:$Z$8,COLUMN(),FALSE),"")</f>
        <v>0</v>
      </c>
      <c r="L8" s="72" t="str">
        <f ca="1">IF(OR(L7='Utakmice A'!$C$99,L7=""),"",L7+1)</f>
        <v/>
      </c>
      <c r="M8" s="73" t="str">
        <f ca="1">IF(L8&lt;&gt;"",VLOOKUP(L8,'Utakmice A'!$C$10:$F$99,3,FALSE),"")</f>
        <v/>
      </c>
      <c r="N8" s="62"/>
      <c r="O8" s="63"/>
      <c r="P8" s="73" t="str">
        <f ca="1">IF(L8&lt;&gt;"",VLOOKUP(L8,'Utakmice A'!$C$10:$F$99,4,FALSE),"")</f>
        <v/>
      </c>
      <c r="R8" s="76" t="s">
        <v>41</v>
      </c>
      <c r="S8" s="57"/>
      <c r="T8" s="57"/>
      <c r="U8" s="65"/>
    </row>
    <row r="9" spans="1:21" x14ac:dyDescent="0.25">
      <c r="A9" s="67">
        <f ca="1">OFFSET('Rangiranje A'!$AB$3,MATCH(SMALL('Rangiranje A'!$B$3:$B$8,ROW()-ROW(A$7)+1),'Rangiranje A'!$B$3:$B$8,0)-1,0)</f>
        <v>1</v>
      </c>
      <c r="B9" s="71" t="str">
        <f ca="1">OFFSET('Rangiranje A'!A$3,MATCH(SMALL('Rangiranje A'!B$3:B$8,ROW()-ROW(B$7)+1),'Rangiranje A'!B$3:B$8,0)-1,0)</f>
        <v>0 ()</v>
      </c>
      <c r="C9" s="67">
        <f ca="1">IF($A9&lt;&gt;"",VLOOKUP($B9,'Rangiranje A'!$A$3:$Z$8,COLUMN(),FALSE),"")</f>
        <v>0</v>
      </c>
      <c r="D9" s="67">
        <f ca="1">IF($A9&lt;&gt;"",VLOOKUP($B9,'Rangiranje A'!$A$3:$Z$8,COLUMN(),FALSE),"")</f>
        <v>0</v>
      </c>
      <c r="E9" s="67">
        <f ca="1">IF($A9&lt;&gt;"",VLOOKUP($B9,'Rangiranje A'!$A$3:$Z$8,COLUMN(),FALSE),"")</f>
        <v>0</v>
      </c>
      <c r="F9" s="67">
        <f ca="1">IF($A9&lt;&gt;"",VLOOKUP($B9,'Rangiranje A'!$A$3:$Z$8,COLUMN(),FALSE),"")</f>
        <v>0</v>
      </c>
      <c r="G9" s="67">
        <f ca="1">IF($A9&lt;&gt;"",VLOOKUP($B9,'Rangiranje A'!$A$3:$Z$8,COLUMN(),FALSE),"")</f>
        <v>0</v>
      </c>
      <c r="H9" s="67">
        <f ca="1">IF($A9&lt;&gt;"",VLOOKUP($B9,'Rangiranje A'!$A$3:$Z$8,COLUMN(),FALSE),"")</f>
        <v>0</v>
      </c>
      <c r="I9" s="67">
        <f ca="1">IF($A9&lt;&gt;"",VLOOKUP($B9,'Rangiranje A'!$A$3:$Z$8,COLUMN(),FALSE),"")</f>
        <v>0</v>
      </c>
      <c r="J9" s="67">
        <f ca="1">IF($A9&lt;&gt;"",VLOOKUP($B9,'Rangiranje A'!$A$3:$Z$8,COLUMN(),FALSE),"")</f>
        <v>0</v>
      </c>
      <c r="L9" s="72" t="str">
        <f ca="1">IF(OR(L8='Utakmice A'!$C$99,L8=""),"",L8+1)</f>
        <v/>
      </c>
      <c r="M9" s="73" t="str">
        <f ca="1">IF(L9&lt;&gt;"",VLOOKUP(L9,'Utakmice A'!$C$10:$F$99,3,FALSE),"")</f>
        <v/>
      </c>
      <c r="N9" s="62"/>
      <c r="O9" s="63"/>
      <c r="P9" s="73" t="str">
        <f ca="1">IF(L9&lt;&gt;"",VLOOKUP(L9,'Utakmice A'!$C$10:$F$99,4,FALSE),"")</f>
        <v/>
      </c>
      <c r="R9" s="76" t="s">
        <v>42</v>
      </c>
      <c r="S9" s="57"/>
      <c r="T9" s="57"/>
      <c r="U9" s="65"/>
    </row>
    <row r="10" spans="1:21" x14ac:dyDescent="0.25">
      <c r="A10" s="67">
        <f ca="1">OFFSET('Rangiranje A'!$AB$3,MATCH(SMALL('Rangiranje A'!$B$3:$B$8,ROW()-ROW(A$7)+1),'Rangiranje A'!$B$3:$B$8,0)-1,0)</f>
        <v>1</v>
      </c>
      <c r="B10" s="71" t="str">
        <f ca="1">OFFSET('Rangiranje A'!A$3,MATCH(SMALL('Rangiranje A'!B$3:B$8,ROW()-ROW(B$7)+1),'Rangiranje A'!B$3:B$8,0)-1,0)</f>
        <v>0 ()</v>
      </c>
      <c r="C10" s="67">
        <f ca="1">IF($A10&lt;&gt;"",VLOOKUP($B10,'Rangiranje A'!$A$3:$Z$8,COLUMN(),FALSE),"")</f>
        <v>0</v>
      </c>
      <c r="D10" s="67">
        <f ca="1">IF($A10&lt;&gt;"",VLOOKUP($B10,'Rangiranje A'!$A$3:$Z$8,COLUMN(),FALSE),"")</f>
        <v>0</v>
      </c>
      <c r="E10" s="67">
        <f ca="1">IF($A10&lt;&gt;"",VLOOKUP($B10,'Rangiranje A'!$A$3:$Z$8,COLUMN(),FALSE),"")</f>
        <v>0</v>
      </c>
      <c r="F10" s="67">
        <f ca="1">IF($A10&lt;&gt;"",VLOOKUP($B10,'Rangiranje A'!$A$3:$Z$8,COLUMN(),FALSE),"")</f>
        <v>0</v>
      </c>
      <c r="G10" s="67">
        <f ca="1">IF($A10&lt;&gt;"",VLOOKUP($B10,'Rangiranje A'!$A$3:$Z$8,COLUMN(),FALSE),"")</f>
        <v>0</v>
      </c>
      <c r="H10" s="67">
        <f ca="1">IF($A10&lt;&gt;"",VLOOKUP($B10,'Rangiranje A'!$A$3:$Z$8,COLUMN(),FALSE),"")</f>
        <v>0</v>
      </c>
      <c r="I10" s="67">
        <f ca="1">IF($A10&lt;&gt;"",VLOOKUP($B10,'Rangiranje A'!$A$3:$Z$8,COLUMN(),FALSE),"")</f>
        <v>0</v>
      </c>
      <c r="J10" s="67">
        <f ca="1">IF($A10&lt;&gt;"",VLOOKUP($B10,'Rangiranje A'!$A$3:$Z$8,COLUMN(),FALSE),"")</f>
        <v>0</v>
      </c>
      <c r="L10" s="72" t="str">
        <f ca="1">IF(OR(L9='Utakmice A'!$C$99,L9=""),"",L9+1)</f>
        <v/>
      </c>
      <c r="M10" s="73" t="str">
        <f ca="1">IF(L10&lt;&gt;"",VLOOKUP(L10,'Utakmice A'!$C$10:$F$99,3,FALSE),"")</f>
        <v/>
      </c>
      <c r="N10" s="62"/>
      <c r="O10" s="61"/>
      <c r="P10" s="73" t="str">
        <f ca="1">IF(L10&lt;&gt;"",VLOOKUP(L10,'Utakmice A'!$C$10:$F$99,4,FALSE),"")</f>
        <v/>
      </c>
      <c r="R10" s="77" t="s">
        <v>43</v>
      </c>
      <c r="S10" s="60"/>
      <c r="T10" s="60"/>
      <c r="U10" s="65"/>
    </row>
    <row r="11" spans="1:21" x14ac:dyDescent="0.25">
      <c r="A11" s="67">
        <f ca="1">OFFSET('Rangiranje A'!$AB$3,MATCH(SMALL('Rangiranje A'!$B$3:$B$8,ROW()-ROW(A$7)+1),'Rangiranje A'!$B$3:$B$8,0)-1,0)</f>
        <v>1</v>
      </c>
      <c r="B11" s="71" t="str">
        <f ca="1">OFFSET('Rangiranje A'!A$3,MATCH(SMALL('Rangiranje A'!B$3:B$8,ROW()-ROW(B$7)+1),'Rangiranje A'!B$3:B$8,0)-1,0)</f>
        <v>0 ()</v>
      </c>
      <c r="C11" s="67">
        <f ca="1">IF($A11&lt;&gt;"",VLOOKUP($B11,'Rangiranje A'!$A$3:$Z$8,COLUMN(),FALSE),"")</f>
        <v>0</v>
      </c>
      <c r="D11" s="67">
        <f ca="1">IF($A11&lt;&gt;"",VLOOKUP($B11,'Rangiranje A'!$A$3:$Z$8,COLUMN(),FALSE),"")</f>
        <v>0</v>
      </c>
      <c r="E11" s="67">
        <f ca="1">IF($A11&lt;&gt;"",VLOOKUP($B11,'Rangiranje A'!$A$3:$Z$8,COLUMN(),FALSE),"")</f>
        <v>0</v>
      </c>
      <c r="F11" s="67">
        <f ca="1">IF($A11&lt;&gt;"",VLOOKUP($B11,'Rangiranje A'!$A$3:$Z$8,COLUMN(),FALSE),"")</f>
        <v>0</v>
      </c>
      <c r="G11" s="67">
        <f ca="1">IF($A11&lt;&gt;"",VLOOKUP($B11,'Rangiranje A'!$A$3:$Z$8,COLUMN(),FALSE),"")</f>
        <v>0</v>
      </c>
      <c r="H11" s="67">
        <f ca="1">IF($A11&lt;&gt;"",VLOOKUP($B11,'Rangiranje A'!$A$3:$Z$8,COLUMN(),FALSE),"")</f>
        <v>0</v>
      </c>
      <c r="I11" s="67">
        <f ca="1">IF($A11&lt;&gt;"",VLOOKUP($B11,'Rangiranje A'!$A$3:$Z$8,COLUMN(),FALSE),"")</f>
        <v>0</v>
      </c>
      <c r="J11" s="67">
        <f ca="1">IF($A11&lt;&gt;"",VLOOKUP($B11,'Rangiranje A'!$A$3:$Z$8,COLUMN(),FALSE),"")</f>
        <v>0</v>
      </c>
      <c r="L11" s="72" t="str">
        <f ca="1">IF(OR(L10='Utakmice A'!$C$99,L10=""),"",L10+1)</f>
        <v/>
      </c>
      <c r="M11" s="73" t="str">
        <f ca="1">IF(L11&lt;&gt;"",VLOOKUP(L11,'Utakmice A'!$C$10:$F$99,3,FALSE),"")</f>
        <v/>
      </c>
      <c r="N11" s="62"/>
      <c r="O11" s="61"/>
      <c r="P11" s="73" t="str">
        <f ca="1">IF(L11&lt;&gt;"",VLOOKUP(L11,'Utakmice A'!$C$10:$F$99,4,FALSE),"")</f>
        <v/>
      </c>
      <c r="R11" s="65"/>
      <c r="S11" s="65"/>
      <c r="T11" s="65"/>
      <c r="U11" s="65"/>
    </row>
    <row r="12" spans="1:21" x14ac:dyDescent="0.25">
      <c r="A12" s="67">
        <f ca="1">OFFSET('Rangiranje A'!$AB$3,MATCH(SMALL('Rangiranje A'!$B$3:$B$8,ROW()-ROW(A$7)+1),'Rangiranje A'!$B$3:$B$8,0)-1,0)</f>
        <v>1</v>
      </c>
      <c r="B12" s="71" t="str">
        <f ca="1">OFFSET('Rangiranje A'!A$3,MATCH(SMALL('Rangiranje A'!B$3:B$8,ROW()-ROW(B$7)+1),'Rangiranje A'!B$3:B$8,0)-1,0)</f>
        <v>0 ()</v>
      </c>
      <c r="C12" s="67">
        <f ca="1">IF($A12&lt;&gt;"",VLOOKUP($B12,'Rangiranje A'!$A$3:$Z$8,COLUMN(),FALSE),"")</f>
        <v>0</v>
      </c>
      <c r="D12" s="67">
        <f ca="1">IF($A12&lt;&gt;"",VLOOKUP($B12,'Rangiranje A'!$A$3:$Z$8,COLUMN(),FALSE),"")</f>
        <v>0</v>
      </c>
      <c r="E12" s="67">
        <f ca="1">IF($A12&lt;&gt;"",VLOOKUP($B12,'Rangiranje A'!$A$3:$Z$8,COLUMN(),FALSE),"")</f>
        <v>0</v>
      </c>
      <c r="F12" s="67">
        <f ca="1">IF($A12&lt;&gt;"",VLOOKUP($B12,'Rangiranje A'!$A$3:$Z$8,COLUMN(),FALSE),"")</f>
        <v>0</v>
      </c>
      <c r="G12" s="67">
        <f ca="1">IF($A12&lt;&gt;"",VLOOKUP($B12,'Rangiranje A'!$A$3:$Z$8,COLUMN(),FALSE),"")</f>
        <v>0</v>
      </c>
      <c r="H12" s="67">
        <f ca="1">IF($A12&lt;&gt;"",VLOOKUP($B12,'Rangiranje A'!$A$3:$Z$8,COLUMN(),FALSE),"")</f>
        <v>0</v>
      </c>
      <c r="I12" s="67">
        <f ca="1">IF($A12&lt;&gt;"",VLOOKUP($B12,'Rangiranje A'!$A$3:$Z$8,COLUMN(),FALSE),"")</f>
        <v>0</v>
      </c>
      <c r="J12" s="67">
        <f ca="1">IF($A12&lt;&gt;"",VLOOKUP($B12,'Rangiranje A'!$A$3:$Z$8,COLUMN(),FALSE),"")</f>
        <v>0</v>
      </c>
      <c r="L12" s="72" t="str">
        <f ca="1">IF(OR(L11='Utakmice A'!$C$99,L11=""),"",L11+1)</f>
        <v/>
      </c>
      <c r="M12" s="73" t="str">
        <f ca="1">IF(L12&lt;&gt;"",VLOOKUP(L12,'Utakmice A'!$C$10:$F$99,3,FALSE),"")</f>
        <v/>
      </c>
      <c r="N12" s="62"/>
      <c r="O12" s="61"/>
      <c r="P12" s="73" t="str">
        <f ca="1">IF(L12&lt;&gt;"",VLOOKUP(L12,'Utakmice A'!$C$10:$F$99,4,FALSE),"")</f>
        <v/>
      </c>
      <c r="R12" s="130" t="s">
        <v>40</v>
      </c>
      <c r="S12" s="130"/>
      <c r="T12" s="130"/>
      <c r="U12" s="130"/>
    </row>
    <row r="13" spans="1:21" x14ac:dyDescent="0.25">
      <c r="L13" s="72" t="str">
        <f ca="1">IF(OR(L12='Utakmice A'!$C$99,L12=""),"",L12+1)</f>
        <v/>
      </c>
      <c r="M13" s="73" t="str">
        <f ca="1">IF(L13&lt;&gt;"",VLOOKUP(L13,'Utakmice A'!$C$10:$F$99,3,FALSE),"")</f>
        <v/>
      </c>
      <c r="N13" s="62"/>
      <c r="O13" s="61"/>
      <c r="P13" s="73" t="str">
        <f ca="1">IF(L13&lt;&gt;"",VLOOKUP(L13,'Utakmice A'!$C$10:$F$99,4,FALSE),"")</f>
        <v/>
      </c>
      <c r="R13" s="60"/>
      <c r="S13" s="75" t="str">
        <f>IF(S14="","",SUM(S14:S16))</f>
        <v/>
      </c>
      <c r="T13" s="75" t="str">
        <f>IF(T14="","",SUM(T14:T16))</f>
        <v/>
      </c>
      <c r="U13" s="60"/>
    </row>
    <row r="14" spans="1:21" x14ac:dyDescent="0.25">
      <c r="L14" s="72" t="str">
        <f ca="1">IF(OR(L13='Utakmice A'!$C$99,L13=""),"",L13+1)</f>
        <v/>
      </c>
      <c r="M14" s="73" t="str">
        <f ca="1">IF(L14&lt;&gt;"",VLOOKUP(L14,'Utakmice A'!$C$10:$F$99,3,FALSE),"")</f>
        <v/>
      </c>
      <c r="N14" s="62"/>
      <c r="O14" s="61"/>
      <c r="P14" s="73" t="str">
        <f ca="1">IF(L14&lt;&gt;"",VLOOKUP(L14,'Utakmice A'!$C$10:$F$99,4,FALSE),"")</f>
        <v/>
      </c>
      <c r="R14" s="76" t="s">
        <v>41</v>
      </c>
      <c r="S14" s="57"/>
      <c r="T14" s="57"/>
      <c r="U14" s="65"/>
    </row>
    <row r="15" spans="1:21" x14ac:dyDescent="0.25">
      <c r="L15" s="72" t="str">
        <f ca="1">IF(OR(L14='Utakmice A'!$C$99,L14=""),"",L14+1)</f>
        <v/>
      </c>
      <c r="M15" s="73" t="str">
        <f ca="1">IF(L15&lt;&gt;"",VLOOKUP(L15,'Utakmice A'!$C$10:$F$99,3,FALSE),"")</f>
        <v/>
      </c>
      <c r="N15" s="62"/>
      <c r="O15" s="61"/>
      <c r="P15" s="73" t="str">
        <f ca="1">IF(L15&lt;&gt;"",VLOOKUP(L15,'Utakmice A'!$C$10:$F$99,4,FALSE),"")</f>
        <v/>
      </c>
      <c r="R15" s="76" t="s">
        <v>42</v>
      </c>
      <c r="S15" s="57"/>
      <c r="T15" s="57"/>
      <c r="U15" s="65"/>
    </row>
    <row r="16" spans="1:21" x14ac:dyDescent="0.25">
      <c r="L16" s="72" t="str">
        <f ca="1">IF(OR(L15='Utakmice A'!$C$99,L15=""),"",L15+1)</f>
        <v/>
      </c>
      <c r="M16" s="73" t="str">
        <f ca="1">IF(L16&lt;&gt;"",VLOOKUP(L16,'Utakmice A'!$C$10:$F$99,3,FALSE),"")</f>
        <v/>
      </c>
      <c r="N16" s="62"/>
      <c r="O16" s="61"/>
      <c r="P16" s="73" t="str">
        <f ca="1">IF(L16&lt;&gt;"",VLOOKUP(L16,'Utakmice A'!$C$10:$F$99,4,FALSE),"")</f>
        <v/>
      </c>
      <c r="R16" s="77" t="s">
        <v>43</v>
      </c>
      <c r="S16" s="60"/>
      <c r="T16" s="60"/>
      <c r="U16" s="65"/>
    </row>
    <row r="17" spans="12:21" x14ac:dyDescent="0.25">
      <c r="L17" s="72" t="str">
        <f ca="1">IF(OR(L16='Utakmice A'!$C$99,L16=""),"",L16+1)</f>
        <v/>
      </c>
      <c r="M17" s="73" t="str">
        <f ca="1">IF(L17&lt;&gt;"",VLOOKUP(L17,'Utakmice A'!$C$10:$F$99,3,FALSE),"")</f>
        <v/>
      </c>
      <c r="N17" s="54"/>
      <c r="O17" s="61"/>
      <c r="P17" s="73" t="str">
        <f ca="1">IF(L17&lt;&gt;"",VLOOKUP(L17,'Utakmice A'!$C$10:$F$99,4,FALSE),"")</f>
        <v/>
      </c>
      <c r="R17" s="65"/>
      <c r="S17" s="65"/>
      <c r="T17" s="65"/>
      <c r="U17" s="65"/>
    </row>
    <row r="18" spans="12:21" x14ac:dyDescent="0.25">
      <c r="L18" s="72" t="str">
        <f ca="1">IF(OR(L17='Utakmice A'!$C$99,L17=""),"",L17+1)</f>
        <v/>
      </c>
      <c r="M18" s="73" t="str">
        <f ca="1">IF(L18&lt;&gt;"",VLOOKUP(L18,'Utakmice A'!$C$10:$F$99,3,FALSE),"")</f>
        <v/>
      </c>
      <c r="N18" s="54"/>
      <c r="O18" s="61"/>
      <c r="P18" s="73" t="str">
        <f ca="1">IF(L18&lt;&gt;"",VLOOKUP(L18,'Utakmice A'!$C$10:$F$99,4,FALSE),"")</f>
        <v/>
      </c>
      <c r="R18" s="130" t="s">
        <v>40</v>
      </c>
      <c r="S18" s="130"/>
      <c r="T18" s="130"/>
      <c r="U18" s="130"/>
    </row>
    <row r="19" spans="12:21" x14ac:dyDescent="0.25">
      <c r="L19" s="72" t="str">
        <f ca="1">IF(OR(L18='Utakmice A'!$C$99,L18=""),"",L18+1)</f>
        <v/>
      </c>
      <c r="M19" s="73" t="str">
        <f ca="1">IF(L19&lt;&gt;"",VLOOKUP(L19,'Utakmice A'!$C$10:$F$99,3,FALSE),"")</f>
        <v/>
      </c>
      <c r="N19" s="54"/>
      <c r="O19" s="61"/>
      <c r="P19" s="73" t="str">
        <f ca="1">IF(L19&lt;&gt;"",VLOOKUP(L19,'Utakmice A'!$C$10:$F$99,4,FALSE),"")</f>
        <v/>
      </c>
      <c r="R19" s="60"/>
      <c r="S19" s="75" t="str">
        <f>IF(S20="","",SUM(S20:S22))</f>
        <v/>
      </c>
      <c r="T19" s="75" t="str">
        <f>IF(T20="","",SUM(T20:T22))</f>
        <v/>
      </c>
      <c r="U19" s="60"/>
    </row>
    <row r="20" spans="12:21" x14ac:dyDescent="0.25">
      <c r="L20" s="72" t="str">
        <f ca="1">IF(OR(L19='Utakmice A'!$C$99,L19=""),"",L19+1)</f>
        <v/>
      </c>
      <c r="M20" s="73" t="str">
        <f ca="1">IF(L20&lt;&gt;"",VLOOKUP(L20,'Utakmice A'!$C$10:$F$99,3,FALSE),"")</f>
        <v/>
      </c>
      <c r="N20" s="54"/>
      <c r="O20" s="61"/>
      <c r="P20" s="73" t="str">
        <f ca="1">IF(L20&lt;&gt;"",VLOOKUP(L20,'Utakmice A'!$C$10:$F$99,4,FALSE),"")</f>
        <v/>
      </c>
      <c r="R20" s="76" t="s">
        <v>41</v>
      </c>
      <c r="S20" s="57"/>
      <c r="T20" s="57"/>
      <c r="U20" s="65"/>
    </row>
    <row r="21" spans="12:21" x14ac:dyDescent="0.25">
      <c r="L21" s="72" t="str">
        <f ca="1">IF(OR(L20='Utakmice A'!$C$99,L20=""),"",L20+1)</f>
        <v/>
      </c>
      <c r="M21" s="73" t="str">
        <f ca="1">IF(L21&lt;&gt;"",VLOOKUP(L21,'Utakmice A'!$C$10:$F$99,3,FALSE),"")</f>
        <v/>
      </c>
      <c r="N21" s="54"/>
      <c r="O21" s="61"/>
      <c r="P21" s="73" t="str">
        <f ca="1">IF(L21&lt;&gt;"",VLOOKUP(L21,'Utakmice A'!$C$10:$F$99,4,FALSE),"")</f>
        <v/>
      </c>
      <c r="R21" s="76" t="s">
        <v>42</v>
      </c>
      <c r="S21" s="57"/>
      <c r="T21" s="57"/>
      <c r="U21" s="65"/>
    </row>
    <row r="22" spans="12:21" x14ac:dyDescent="0.25">
      <c r="M22" s="65"/>
      <c r="N22" s="65"/>
      <c r="O22" s="65"/>
      <c r="P22" s="65"/>
      <c r="R22" s="77" t="s">
        <v>43</v>
      </c>
      <c r="S22" s="60"/>
      <c r="T22" s="60"/>
      <c r="U22" s="65"/>
    </row>
    <row r="23" spans="12:21" s="65" customFormat="1" x14ac:dyDescent="0.25">
      <c r="L23" s="72"/>
      <c r="M23" s="72"/>
      <c r="N23" s="90"/>
      <c r="O23" s="90"/>
      <c r="P23" s="72"/>
    </row>
    <row r="24" spans="12:21" s="65" customFormat="1" x14ac:dyDescent="0.25">
      <c r="L24" s="72"/>
      <c r="M24" s="74"/>
      <c r="N24" s="74"/>
      <c r="O24" s="74"/>
      <c r="P24" s="74"/>
    </row>
    <row r="25" spans="12:21" s="65" customFormat="1" x14ac:dyDescent="0.25">
      <c r="L25" s="72"/>
      <c r="M25" s="74"/>
      <c r="N25" s="74"/>
      <c r="O25" s="74"/>
      <c r="P25" s="74"/>
    </row>
    <row r="26" spans="12:21" s="65" customFormat="1" x14ac:dyDescent="0.25">
      <c r="L26" s="72"/>
      <c r="M26" s="74"/>
      <c r="N26" s="74"/>
      <c r="O26" s="74"/>
      <c r="P26" s="74"/>
    </row>
    <row r="27" spans="12:21" s="65" customFormat="1" x14ac:dyDescent="0.25">
      <c r="L27" s="72"/>
      <c r="M27" s="74"/>
      <c r="N27" s="74"/>
      <c r="O27" s="74"/>
      <c r="P27" s="74"/>
    </row>
    <row r="28" spans="12:21" s="65" customFormat="1" x14ac:dyDescent="0.25">
      <c r="L28" s="72"/>
      <c r="M28" s="74"/>
      <c r="N28" s="74"/>
      <c r="O28" s="74"/>
      <c r="P28" s="74"/>
    </row>
    <row r="29" spans="12:21" s="65" customFormat="1" x14ac:dyDescent="0.25">
      <c r="L29" s="72"/>
      <c r="M29" s="74"/>
      <c r="N29" s="74"/>
      <c r="O29" s="74"/>
      <c r="P29" s="74"/>
    </row>
    <row r="30" spans="12:21" s="65" customFormat="1" x14ac:dyDescent="0.25">
      <c r="L30" s="72"/>
      <c r="M30" s="74"/>
      <c r="N30" s="74"/>
      <c r="O30" s="74"/>
      <c r="P30" s="74"/>
    </row>
    <row r="31" spans="12:21" s="65" customFormat="1" x14ac:dyDescent="0.25">
      <c r="L31" s="72"/>
      <c r="M31" s="74"/>
      <c r="N31" s="74"/>
      <c r="O31" s="74"/>
      <c r="P31" s="74"/>
    </row>
    <row r="32" spans="12:21" s="65" customFormat="1" x14ac:dyDescent="0.25">
      <c r="L32" s="72"/>
      <c r="M32" s="74"/>
      <c r="N32" s="74"/>
      <c r="O32" s="74"/>
      <c r="P32" s="74"/>
    </row>
    <row r="33" spans="12:16" s="65" customFormat="1" x14ac:dyDescent="0.25">
      <c r="L33" s="72"/>
      <c r="M33" s="74"/>
      <c r="N33" s="74"/>
      <c r="O33" s="74"/>
      <c r="P33" s="74"/>
    </row>
    <row r="34" spans="12:16" s="65" customFormat="1" x14ac:dyDescent="0.25">
      <c r="L34" s="72"/>
      <c r="M34" s="74"/>
      <c r="N34" s="74"/>
      <c r="O34" s="74"/>
      <c r="P34" s="74"/>
    </row>
    <row r="35" spans="12:16" s="65" customFormat="1" x14ac:dyDescent="0.25">
      <c r="L35" s="72"/>
      <c r="M35" s="74"/>
      <c r="N35" s="74"/>
      <c r="O35" s="74"/>
      <c r="P35" s="74"/>
    </row>
    <row r="36" spans="12:16" s="65" customFormat="1" x14ac:dyDescent="0.25">
      <c r="L36" s="72"/>
      <c r="M36" s="74"/>
      <c r="N36" s="74"/>
      <c r="O36" s="74"/>
      <c r="P36" s="74"/>
    </row>
    <row r="37" spans="12:16" s="65" customFormat="1" x14ac:dyDescent="0.25">
      <c r="L37" s="72"/>
      <c r="M37" s="74"/>
      <c r="N37" s="74"/>
      <c r="O37" s="74"/>
      <c r="P37" s="74"/>
    </row>
    <row r="38" spans="12:16" s="65" customFormat="1" x14ac:dyDescent="0.25">
      <c r="L38" s="72"/>
      <c r="M38" s="74"/>
      <c r="N38" s="74"/>
      <c r="O38" s="74"/>
      <c r="P38" s="74"/>
    </row>
    <row r="39" spans="12:16" s="65" customFormat="1" x14ac:dyDescent="0.25"/>
    <row r="40" spans="12:16" s="65" customFormat="1" x14ac:dyDescent="0.25"/>
    <row r="41" spans="12:16" s="65" customFormat="1" x14ac:dyDescent="0.25"/>
    <row r="42" spans="12:16" s="65" customFormat="1" x14ac:dyDescent="0.25"/>
    <row r="43" spans="12:16" s="65" customFormat="1" x14ac:dyDescent="0.25"/>
    <row r="44" spans="12:16" s="65" customFormat="1" x14ac:dyDescent="0.25"/>
    <row r="45" spans="12:16" s="65" customFormat="1" x14ac:dyDescent="0.25"/>
    <row r="46" spans="12:16" s="65" customFormat="1" x14ac:dyDescent="0.25"/>
    <row r="47" spans="12:16" s="65" customFormat="1" x14ac:dyDescent="0.25"/>
    <row r="48" spans="12:16" s="65" customFormat="1" x14ac:dyDescent="0.25"/>
    <row r="49" s="65" customFormat="1" x14ac:dyDescent="0.25"/>
    <row r="50" s="65" customFormat="1" x14ac:dyDescent="0.25"/>
    <row r="51" s="65" customFormat="1" x14ac:dyDescent="0.25"/>
    <row r="52" s="65" customFormat="1" x14ac:dyDescent="0.25"/>
    <row r="53" s="65" customFormat="1" x14ac:dyDescent="0.25"/>
    <row r="54" s="65" customFormat="1" x14ac:dyDescent="0.25"/>
    <row r="55" s="65" customFormat="1" x14ac:dyDescent="0.25"/>
    <row r="56" s="65" customFormat="1" x14ac:dyDescent="0.25"/>
    <row r="57" s="65" customFormat="1" x14ac:dyDescent="0.25"/>
    <row r="58" s="65" customFormat="1" x14ac:dyDescent="0.25"/>
    <row r="59" s="65" customFormat="1" x14ac:dyDescent="0.25"/>
    <row r="60" s="65" customFormat="1" x14ac:dyDescent="0.25"/>
    <row r="61" s="65" customFormat="1" x14ac:dyDescent="0.25"/>
    <row r="62" s="65" customFormat="1" x14ac:dyDescent="0.25"/>
    <row r="63" s="65" customFormat="1" x14ac:dyDescent="0.25"/>
    <row r="64" s="65" customFormat="1" x14ac:dyDescent="0.25"/>
    <row r="65" s="65" customFormat="1" x14ac:dyDescent="0.25"/>
    <row r="66" s="65" customFormat="1" x14ac:dyDescent="0.25"/>
    <row r="67" s="65" customFormat="1" x14ac:dyDescent="0.25"/>
    <row r="68" s="65" customFormat="1" x14ac:dyDescent="0.25"/>
    <row r="69" s="65" customFormat="1" x14ac:dyDescent="0.25"/>
    <row r="70" s="65" customFormat="1" x14ac:dyDescent="0.25"/>
    <row r="71" s="65" customFormat="1" x14ac:dyDescent="0.25"/>
    <row r="72" s="65" customFormat="1" x14ac:dyDescent="0.25"/>
    <row r="73" s="65" customFormat="1" x14ac:dyDescent="0.25"/>
    <row r="74" s="65" customFormat="1" x14ac:dyDescent="0.25"/>
    <row r="75" s="65" customFormat="1" x14ac:dyDescent="0.25"/>
    <row r="76" s="65" customFormat="1" x14ac:dyDescent="0.25"/>
    <row r="77" s="65" customFormat="1" x14ac:dyDescent="0.25"/>
    <row r="78" s="65" customFormat="1" x14ac:dyDescent="0.25"/>
    <row r="79" s="65" customFormat="1" x14ac:dyDescent="0.25"/>
    <row r="80" s="65" customFormat="1" x14ac:dyDescent="0.25"/>
    <row r="81" s="65" customFormat="1" x14ac:dyDescent="0.25"/>
    <row r="82" s="65" customFormat="1" x14ac:dyDescent="0.25"/>
    <row r="83" s="65" customFormat="1" x14ac:dyDescent="0.25"/>
    <row r="84" s="65" customFormat="1" x14ac:dyDescent="0.25"/>
    <row r="85" s="65" customFormat="1" x14ac:dyDescent="0.25"/>
    <row r="86" s="65" customFormat="1" x14ac:dyDescent="0.25"/>
    <row r="87" s="65" customFormat="1" x14ac:dyDescent="0.25"/>
    <row r="88" s="65" customFormat="1" x14ac:dyDescent="0.25"/>
    <row r="89" s="65" customFormat="1" x14ac:dyDescent="0.25"/>
    <row r="90" s="65" customFormat="1" x14ac:dyDescent="0.25"/>
    <row r="91" s="65" customFormat="1" x14ac:dyDescent="0.25"/>
    <row r="92" s="65" customFormat="1" x14ac:dyDescent="0.25"/>
    <row r="93" s="65" customFormat="1" x14ac:dyDescent="0.25"/>
    <row r="94" s="65" customFormat="1" x14ac:dyDescent="0.25"/>
    <row r="95" s="65" customFormat="1" x14ac:dyDescent="0.25"/>
    <row r="96" s="65" customFormat="1" x14ac:dyDescent="0.25"/>
    <row r="97" s="65" customFormat="1" x14ac:dyDescent="0.25"/>
    <row r="98" s="65" customFormat="1" x14ac:dyDescent="0.25"/>
    <row r="99" s="65" customFormat="1" x14ac:dyDescent="0.25"/>
    <row r="100" s="65" customFormat="1" x14ac:dyDescent="0.25"/>
    <row r="101" s="65" customFormat="1" x14ac:dyDescent="0.25"/>
    <row r="102" s="65" customFormat="1" x14ac:dyDescent="0.25"/>
    <row r="103" s="65" customFormat="1" x14ac:dyDescent="0.25"/>
    <row r="104" s="65" customFormat="1" x14ac:dyDescent="0.25"/>
    <row r="105" s="65" customFormat="1" x14ac:dyDescent="0.25"/>
    <row r="106" s="65" customFormat="1" x14ac:dyDescent="0.25"/>
    <row r="107" s="65" customFormat="1" x14ac:dyDescent="0.25"/>
    <row r="108" s="65" customFormat="1" x14ac:dyDescent="0.25"/>
    <row r="109" s="65" customFormat="1" x14ac:dyDescent="0.25"/>
    <row r="110" s="65" customFormat="1" x14ac:dyDescent="0.25"/>
    <row r="111" s="65" customFormat="1" x14ac:dyDescent="0.25"/>
    <row r="112" s="65" customFormat="1" x14ac:dyDescent="0.25"/>
    <row r="113" s="65" customFormat="1" x14ac:dyDescent="0.25"/>
    <row r="114" s="65" customFormat="1" x14ac:dyDescent="0.25"/>
    <row r="115" s="65" customFormat="1" x14ac:dyDescent="0.25"/>
    <row r="116" s="65" customFormat="1" x14ac:dyDescent="0.25"/>
    <row r="117" s="65" customFormat="1" x14ac:dyDescent="0.25"/>
    <row r="118" s="65" customFormat="1" x14ac:dyDescent="0.25"/>
    <row r="119" s="65" customFormat="1" x14ac:dyDescent="0.25"/>
    <row r="120" s="65" customFormat="1" x14ac:dyDescent="0.25"/>
    <row r="121" s="65" customFormat="1" x14ac:dyDescent="0.25"/>
    <row r="122" s="65" customFormat="1" x14ac:dyDescent="0.25"/>
    <row r="123" s="65" customFormat="1" x14ac:dyDescent="0.25"/>
    <row r="124" s="65" customFormat="1" x14ac:dyDescent="0.25"/>
    <row r="125" s="65" customFormat="1" x14ac:dyDescent="0.25"/>
    <row r="126" s="65" customFormat="1" x14ac:dyDescent="0.25"/>
    <row r="127" s="65" customFormat="1" x14ac:dyDescent="0.25"/>
    <row r="128" s="65" customFormat="1" x14ac:dyDescent="0.25"/>
    <row r="129" s="65" customFormat="1" x14ac:dyDescent="0.25"/>
    <row r="130" s="65" customFormat="1" x14ac:dyDescent="0.25"/>
    <row r="131" s="65" customFormat="1" x14ac:dyDescent="0.25"/>
    <row r="132" s="65" customFormat="1" x14ac:dyDescent="0.25"/>
    <row r="133" s="65" customFormat="1" x14ac:dyDescent="0.25"/>
    <row r="134" s="65" customFormat="1" x14ac:dyDescent="0.25"/>
    <row r="135" s="65" customFormat="1" x14ac:dyDescent="0.25"/>
    <row r="136" s="65" customFormat="1" x14ac:dyDescent="0.25"/>
    <row r="137" s="65" customFormat="1" x14ac:dyDescent="0.25"/>
    <row r="138" s="65" customFormat="1" x14ac:dyDescent="0.25"/>
    <row r="139" s="65" customFormat="1" x14ac:dyDescent="0.25"/>
    <row r="140" s="65" customFormat="1" x14ac:dyDescent="0.25"/>
    <row r="141" s="65" customFormat="1" x14ac:dyDescent="0.25"/>
    <row r="142" s="65" customFormat="1" x14ac:dyDescent="0.25"/>
    <row r="143" s="65" customFormat="1" x14ac:dyDescent="0.25"/>
    <row r="144" s="65" customFormat="1" x14ac:dyDescent="0.25"/>
    <row r="145" s="65" customFormat="1" x14ac:dyDescent="0.25"/>
    <row r="146" s="65" customFormat="1" x14ac:dyDescent="0.25"/>
    <row r="147" s="65" customFormat="1" x14ac:dyDescent="0.25"/>
    <row r="148" s="65" customFormat="1" x14ac:dyDescent="0.25"/>
    <row r="149" s="65" customFormat="1" x14ac:dyDescent="0.25"/>
    <row r="150" s="65" customFormat="1" x14ac:dyDescent="0.25"/>
    <row r="151" s="65" customFormat="1" x14ac:dyDescent="0.25"/>
    <row r="152" s="65" customFormat="1" x14ac:dyDescent="0.25"/>
    <row r="153" s="65" customFormat="1" x14ac:dyDescent="0.25"/>
    <row r="154" s="65" customFormat="1" x14ac:dyDescent="0.25"/>
    <row r="155" s="65" customFormat="1" x14ac:dyDescent="0.25"/>
    <row r="156" s="65" customFormat="1" x14ac:dyDescent="0.25"/>
    <row r="157" s="65" customFormat="1" x14ac:dyDescent="0.25"/>
    <row r="158" s="65" customFormat="1" x14ac:dyDescent="0.25"/>
    <row r="159" s="65" customFormat="1" x14ac:dyDescent="0.25"/>
    <row r="160" s="65" customFormat="1" x14ac:dyDescent="0.25"/>
    <row r="161" s="65" customFormat="1" x14ac:dyDescent="0.25"/>
    <row r="162" s="65" customFormat="1" x14ac:dyDescent="0.25"/>
    <row r="163" s="65" customFormat="1" x14ac:dyDescent="0.25"/>
    <row r="164" s="65" customFormat="1" x14ac:dyDescent="0.25"/>
    <row r="165" s="65" customFormat="1" x14ac:dyDescent="0.25"/>
    <row r="166" s="65" customFormat="1" x14ac:dyDescent="0.25"/>
    <row r="167" s="65" customFormat="1" x14ac:dyDescent="0.25"/>
    <row r="168" s="65" customFormat="1" x14ac:dyDescent="0.25"/>
    <row r="169" s="65" customFormat="1" x14ac:dyDescent="0.25"/>
    <row r="170" s="65" customFormat="1" x14ac:dyDescent="0.25"/>
    <row r="171" s="65" customFormat="1" x14ac:dyDescent="0.25"/>
    <row r="172" s="65" customFormat="1" x14ac:dyDescent="0.25"/>
    <row r="173" s="65" customFormat="1" x14ac:dyDescent="0.25"/>
    <row r="174" s="65" customFormat="1" x14ac:dyDescent="0.25"/>
    <row r="175" s="65" customFormat="1" x14ac:dyDescent="0.25"/>
    <row r="176" s="65" customFormat="1" x14ac:dyDescent="0.25"/>
    <row r="177" s="65" customFormat="1" x14ac:dyDescent="0.25"/>
    <row r="178" s="65" customFormat="1" x14ac:dyDescent="0.25"/>
    <row r="179" s="65" customFormat="1" x14ac:dyDescent="0.25"/>
    <row r="180" s="65" customFormat="1" x14ac:dyDescent="0.25"/>
    <row r="181" s="65" customFormat="1" x14ac:dyDescent="0.25"/>
    <row r="182" s="65" customFormat="1" x14ac:dyDescent="0.25"/>
    <row r="183" s="65" customFormat="1" x14ac:dyDescent="0.25"/>
    <row r="184" s="65" customFormat="1" x14ac:dyDescent="0.25"/>
    <row r="185" s="65" customFormat="1" x14ac:dyDescent="0.25"/>
    <row r="186" s="65" customFormat="1" x14ac:dyDescent="0.25"/>
    <row r="187" s="65" customFormat="1" x14ac:dyDescent="0.25"/>
    <row r="188" s="65" customFormat="1" x14ac:dyDescent="0.25"/>
    <row r="189" s="65" customFormat="1" x14ac:dyDescent="0.25"/>
    <row r="190" s="65" customFormat="1" x14ac:dyDescent="0.25"/>
    <row r="191" s="65" customFormat="1" x14ac:dyDescent="0.25"/>
    <row r="192" s="65" customFormat="1" x14ac:dyDescent="0.25"/>
    <row r="193" s="65" customFormat="1" x14ac:dyDescent="0.25"/>
  </sheetData>
  <sheetProtection password="E163" sheet="1" objects="1" scenarios="1" selectLockedCells="1"/>
  <sortState ref="A7:J12">
    <sortCondition descending="1" ref="J7:J12"/>
    <sortCondition descending="1" ref="I7:I12"/>
    <sortCondition descending="1" ref="G7:G12"/>
    <sortCondition descending="1" ref="D7:D12"/>
    <sortCondition descending="1" ref="H7:H12"/>
  </sortState>
  <mergeCells count="5">
    <mergeCell ref="R18:U18"/>
    <mergeCell ref="A5:J5"/>
    <mergeCell ref="N6:O6"/>
    <mergeCell ref="R6:U6"/>
    <mergeCell ref="R12:U1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ommandButton1">
          <controlPr defaultSize="0" autoLine="0" r:id="rId4">
            <anchor moveWithCells="1">
              <from>
                <xdr:col>11</xdr:col>
                <xdr:colOff>247650</xdr:colOff>
                <xdr:row>1</xdr:row>
                <xdr:rowOff>9525</xdr:rowOff>
              </from>
              <to>
                <xdr:col>12</xdr:col>
                <xdr:colOff>1524000</xdr:colOff>
                <xdr:row>2</xdr:row>
                <xdr:rowOff>152400</xdr:rowOff>
              </to>
            </anchor>
          </controlPr>
        </control>
      </mc:Choice>
      <mc:Fallback>
        <control shapeId="3074" r:id="rId3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id="{F2ADEC9A-718D-4386-B190-BEEFD9121ADB}">
            <xm:f>Informacije!$D$11=3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L7:P9</xm:sqref>
        </x14:conditionalFormatting>
        <x14:conditionalFormatting xmlns:xm="http://schemas.microsoft.com/office/excel/2006/main">
          <x14:cfRule type="expression" priority="13" id="{316DFD7E-D5F7-4BD6-9C5E-6D9394187ED4}">
            <xm:f>Informacije!$D$11=4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expression" priority="14" id="{F766B084-0CF7-4DDD-B3C0-FDA6FEA9BFE3}">
            <xm:f>Informacije!$D$13="DA"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L7:P12</xm:sqref>
        </x14:conditionalFormatting>
        <x14:conditionalFormatting xmlns:xm="http://schemas.microsoft.com/office/excel/2006/main">
          <x14:cfRule type="expression" priority="12" id="{3C35C629-7036-454C-957B-784A35339994}">
            <xm:f>Informacije!$D$11=5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L7:P16</xm:sqref>
        </x14:conditionalFormatting>
        <x14:conditionalFormatting xmlns:xm="http://schemas.microsoft.com/office/excel/2006/main">
          <x14:cfRule type="expression" priority="11" id="{B5200192-ACFF-45CB-9C1A-EEE9CCE3CAD6}">
            <xm:f>Informacije!$D$11=6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L7:P21</xm:sqref>
        </x14:conditionalFormatting>
        <x14:conditionalFormatting xmlns:xm="http://schemas.microsoft.com/office/excel/2006/main">
          <x14:cfRule type="expression" priority="4" id="{B055E91B-12F8-42FB-9339-1792DE15A015}">
            <xm:f>Informacije!$D$12=3</xm:f>
            <x14:dxf>
              <font>
                <b/>
                <i val="0"/>
              </font>
              <fill>
                <patternFill>
                  <bgColor theme="8"/>
                </patternFill>
              </fill>
              <border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expression" priority="10" id="{9F4CF990-6C60-4EDB-8D34-B38330858CC6}">
            <xm:f>Informacije!$D$11=3</xm:f>
            <x14:dxf>
              <border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A7:J9</xm:sqref>
        </x14:conditionalFormatting>
        <x14:conditionalFormatting xmlns:xm="http://schemas.microsoft.com/office/excel/2006/main">
          <x14:cfRule type="expression" priority="9" id="{826BC53F-ECC6-4949-90CB-264E6A12C413}">
            <xm:f>Informacije!$D$12=2</xm:f>
            <x14:dxf>
              <font>
                <b/>
                <i val="0"/>
                <strike val="0"/>
              </font>
              <fill>
                <patternFill>
                  <bgColor theme="8"/>
                </patternFill>
              </fill>
              <border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A7:J8</xm:sqref>
        </x14:conditionalFormatting>
        <x14:conditionalFormatting xmlns:xm="http://schemas.microsoft.com/office/excel/2006/main">
          <x14:cfRule type="expression" priority="8" id="{584449F4-D769-4812-B4DF-3AEC172B084B}">
            <xm:f>Informacije!$D$11=3</xm:f>
            <x14:dxf>
              <font>
                <color theme="0"/>
              </font>
            </x14:dxf>
          </x14:cfRule>
          <xm:sqref>A10:J12</xm:sqref>
        </x14:conditionalFormatting>
        <x14:conditionalFormatting xmlns:xm="http://schemas.microsoft.com/office/excel/2006/main">
          <x14:cfRule type="expression" priority="7" id="{C73A0987-D456-4D68-9BB9-981A86E5AD9F}">
            <xm:f>Informacije!$D$11=6</xm:f>
            <x14:dxf>
              <border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A7:J12</xm:sqref>
        </x14:conditionalFormatting>
        <x14:conditionalFormatting xmlns:xm="http://schemas.microsoft.com/office/excel/2006/main">
          <x14:cfRule type="expression" priority="6" id="{2D924818-F76A-479F-8C4B-05C8C021559C}">
            <xm:f>Informacije!$D$11=5</xm:f>
            <x14:dxf>
              <border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A7:J11</xm:sqref>
        </x14:conditionalFormatting>
        <x14:conditionalFormatting xmlns:xm="http://schemas.microsoft.com/office/excel/2006/main">
          <x14:cfRule type="expression" priority="3" id="{EA29BDF0-AA69-425D-81D4-8A7A75498AC3}">
            <xm:f>Informacije!$D$12=4</xm:f>
            <x14:dxf>
              <font>
                <b/>
                <i val="0"/>
              </font>
              <fill>
                <patternFill>
                  <bgColor theme="8"/>
                </patternFill>
              </fill>
              <border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expression" priority="5" id="{AC2FD8D1-325D-4854-83D6-A9BF701E07B1}">
            <xm:f>Informacije!$D$11=4</xm:f>
            <x14:dxf>
              <border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A7:J10</xm:sqref>
        </x14:conditionalFormatting>
        <x14:conditionalFormatting xmlns:xm="http://schemas.microsoft.com/office/excel/2006/main">
          <x14:cfRule type="expression" priority="2" id="{AB92B11F-EEA7-4A61-B8AC-11713A46A925}">
            <xm:f>Informacije!$D$11=4</xm:f>
            <x14:dxf>
              <font>
                <color theme="0"/>
              </font>
            </x14:dxf>
          </x14:cfRule>
          <xm:sqref>A11:J12</xm:sqref>
        </x14:conditionalFormatting>
        <x14:conditionalFormatting xmlns:xm="http://schemas.microsoft.com/office/excel/2006/main">
          <x14:cfRule type="expression" priority="1" id="{C2EFE19F-C4BB-4C50-B8BC-12D51ECB8191}">
            <xm:f>Informacije!$D$11=5</xm:f>
            <x14:dxf>
              <font>
                <color theme="0"/>
              </font>
            </x14:dxf>
          </x14:cfRule>
          <xm:sqref>A12:J12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H1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defaultRowHeight="15" x14ac:dyDescent="0.25"/>
  <cols>
    <col min="1" max="1" width="25.140625" bestFit="1" customWidth="1"/>
    <col min="2" max="2" width="18.28515625" customWidth="1"/>
    <col min="3" max="26" width="6.7109375" customWidth="1"/>
    <col min="28" max="28" width="11.140625" style="2" bestFit="1" customWidth="1"/>
    <col min="29" max="29" width="11.140625" style="2" customWidth="1"/>
    <col min="30" max="30" width="10.7109375" style="2" bestFit="1" customWidth="1"/>
    <col min="31" max="31" width="10.42578125" style="2" bestFit="1" customWidth="1"/>
    <col min="32" max="32" width="10" style="2" bestFit="1" customWidth="1"/>
    <col min="33" max="33" width="10.7109375" style="2" bestFit="1" customWidth="1"/>
  </cols>
  <sheetData>
    <row r="1" spans="1:34" ht="15.75" thickBot="1" x14ac:dyDescent="0.3">
      <c r="C1" s="133" t="s">
        <v>48</v>
      </c>
      <c r="D1" s="133"/>
      <c r="E1" s="133"/>
      <c r="F1" s="133"/>
      <c r="G1" s="133"/>
      <c r="H1" s="133"/>
      <c r="I1" s="133"/>
      <c r="J1" s="134"/>
      <c r="K1" s="133" t="s">
        <v>37</v>
      </c>
      <c r="L1" s="133"/>
      <c r="M1" s="133"/>
      <c r="N1" s="133"/>
      <c r="O1" s="133"/>
      <c r="P1" s="133"/>
      <c r="Q1" s="133"/>
      <c r="R1" s="134"/>
      <c r="S1" s="133" t="s">
        <v>39</v>
      </c>
      <c r="T1" s="133"/>
      <c r="U1" s="133"/>
      <c r="V1" s="133"/>
      <c r="W1" s="133"/>
      <c r="X1" s="133"/>
      <c r="Y1" s="133"/>
      <c r="Z1" s="134"/>
    </row>
    <row r="2" spans="1:34" ht="15.75" thickBot="1" x14ac:dyDescent="0.3">
      <c r="A2" s="2" t="s">
        <v>47</v>
      </c>
      <c r="B2" s="2" t="s">
        <v>25</v>
      </c>
      <c r="C2" s="13" t="s">
        <v>27</v>
      </c>
      <c r="D2" s="13" t="s">
        <v>28</v>
      </c>
      <c r="E2" s="13" t="s">
        <v>29</v>
      </c>
      <c r="F2" s="13" t="s">
        <v>30</v>
      </c>
      <c r="G2" s="13" t="s">
        <v>31</v>
      </c>
      <c r="H2" s="13" t="s">
        <v>32</v>
      </c>
      <c r="I2" s="13" t="s">
        <v>33</v>
      </c>
      <c r="J2" s="13" t="s">
        <v>34</v>
      </c>
      <c r="K2" s="11" t="s">
        <v>27</v>
      </c>
      <c r="L2" s="10" t="s">
        <v>28</v>
      </c>
      <c r="M2" s="10" t="s">
        <v>29</v>
      </c>
      <c r="N2" s="10" t="s">
        <v>30</v>
      </c>
      <c r="O2" s="10" t="s">
        <v>31</v>
      </c>
      <c r="P2" s="10" t="s">
        <v>32</v>
      </c>
      <c r="Q2" s="10" t="s">
        <v>33</v>
      </c>
      <c r="R2" s="12" t="s">
        <v>34</v>
      </c>
      <c r="S2" s="11" t="s">
        <v>27</v>
      </c>
      <c r="T2" s="10" t="s">
        <v>28</v>
      </c>
      <c r="U2" s="10" t="s">
        <v>29</v>
      </c>
      <c r="V2" s="10" t="s">
        <v>30</v>
      </c>
      <c r="W2" s="10" t="s">
        <v>31</v>
      </c>
      <c r="X2" s="10" t="s">
        <v>32</v>
      </c>
      <c r="Y2" s="10" t="s">
        <v>33</v>
      </c>
      <c r="Z2" s="12" t="s">
        <v>34</v>
      </c>
      <c r="AB2" s="5" t="s">
        <v>49</v>
      </c>
      <c r="AC2" s="5" t="s">
        <v>50</v>
      </c>
      <c r="AD2" s="5" t="s">
        <v>51</v>
      </c>
      <c r="AE2" s="5" t="s">
        <v>52</v>
      </c>
      <c r="AF2" s="5" t="s">
        <v>53</v>
      </c>
      <c r="AG2" s="5" t="s">
        <v>54</v>
      </c>
      <c r="AH2" s="5" t="s">
        <v>55</v>
      </c>
    </row>
    <row r="3" spans="1:34" ht="16.5" thickTop="1" thickBot="1" x14ac:dyDescent="0.3">
      <c r="A3" s="1" t="str">
        <f>IF(Timovi!B4&lt;&gt;"",Timovi!B4,0) &amp; " " &amp; "("&amp;Timovi!C4&amp;")"</f>
        <v>0 ()</v>
      </c>
      <c r="B3" s="2">
        <f ca="1">(AB3&amp;"."&amp;TEXT(AH3,"0")&amp;TEXT(AC3,"0")&amp;TEXT(AD3,"0")&amp;TEXT(AE3,"0")&amp;TEXT(AF3,"0")&amp;TEXT(AG3,"0"))+0</f>
        <v>1.111111</v>
      </c>
      <c r="C3" s="14">
        <f ca="1">SUM(D3:F3)</f>
        <v>0</v>
      </c>
      <c r="D3" s="14">
        <f t="shared" ref="D3:J3" ca="1" si="0">L3+T3</f>
        <v>0</v>
      </c>
      <c r="E3" s="14">
        <f t="shared" ca="1" si="0"/>
        <v>0</v>
      </c>
      <c r="F3" s="14">
        <f t="shared" ca="1" si="0"/>
        <v>0</v>
      </c>
      <c r="G3" s="14">
        <f t="shared" ca="1" si="0"/>
        <v>0</v>
      </c>
      <c r="H3" s="14">
        <f t="shared" ca="1" si="0"/>
        <v>0</v>
      </c>
      <c r="I3" s="14">
        <f t="shared" ca="1" si="0"/>
        <v>0</v>
      </c>
      <c r="J3" s="14">
        <f t="shared" ca="1" si="0"/>
        <v>0</v>
      </c>
      <c r="K3" s="16">
        <f ca="1">SUM(L3:N3)</f>
        <v>0</v>
      </c>
      <c r="L3" s="17">
        <f ca="1">SUMPRODUCT(('Grupa A'!$M$7:$M$21='Rangiranje A'!A3)*('Grupa A'!$N$7:$N$21&gt;'Grupa A'!$O$7:$O$21))+SUMPRODUCT(('Grupa A'!$R$7:$R$19='Rangiranje A'!A3)*('Grupa A'!$S$7:$S$19&gt;'Grupa A'!$T$7:$T$19))</f>
        <v>0</v>
      </c>
      <c r="M3" s="17">
        <f ca="1">SUMPRODUCT(('Grupa A'!$M$7:$M$21='Rangiranje A'!A3)*('Grupa A'!$N$7:$N$21='Grupa A'!$O$7:$O$21)*('Grupa A'!$N$7:$N$21&lt;&gt;""))</f>
        <v>0</v>
      </c>
      <c r="N3" s="17">
        <f ca="1">SUMPRODUCT(('Grupa A'!$M$7:$M$21='Rangiranje A'!A3)*('Grupa A'!$N$7:$N$21&lt;'Grupa A'!$O$7:$O$21))+SUMPRODUCT(('Grupa A'!$R$7:$R$19='Rangiranje A'!A3)*('Grupa A'!$S$7:$S$19&lt;'Grupa A'!$T$7:$T$19))</f>
        <v>0</v>
      </c>
      <c r="O3" s="17">
        <f ca="1">SUMIF('Grupa A'!$M$7:$M$21,'Rangiranje A'!A3,'Grupa A'!$N$7:$N$21)+SUMIF('Grupa A'!$R$7:$R$19,'Rangiranje A'!A3,'Grupa A'!$S$7:$S$19)</f>
        <v>0</v>
      </c>
      <c r="P3" s="17">
        <f ca="1">SUMIF('Grupa A'!$M$7:$M$21,'Rangiranje A'!A3,'Grupa A'!$O$7:$O$21)+SUMIF('Grupa A'!$R$7:$R$19,'Rangiranje A'!A3,'Grupa A'!$T$7:$T$19)</f>
        <v>0</v>
      </c>
      <c r="Q3" s="17">
        <f ca="1">O3-P3</f>
        <v>0</v>
      </c>
      <c r="R3" s="18">
        <f ca="1">L3*3+M3</f>
        <v>0</v>
      </c>
      <c r="S3" s="16">
        <f ca="1">SUM(T3:V3)</f>
        <v>0</v>
      </c>
      <c r="T3" s="17">
        <f ca="1">SUMPRODUCT(('Grupa A'!$P$7:$P$21='Rangiranje A'!A3)*('Grupa A'!$O$7:$O$21&gt;'Grupa A'!$N$7:$N$21))+SUMPRODUCT(('Grupa A'!$U$7:$U$19='Rangiranje A'!A3)*('Grupa A'!$T$7:$T$19&gt;'Grupa A'!$S$7:$S$19))</f>
        <v>0</v>
      </c>
      <c r="U3" s="17">
        <f ca="1">SUMPRODUCT(('Grupa A'!$P$7:$P$21='Rangiranje A'!A3)*('Grupa A'!$O$7:$O$21='Grupa A'!$N$7:$N$21)*('Grupa A'!$O$7:$O$21&lt;&gt;""))</f>
        <v>0</v>
      </c>
      <c r="V3" s="17">
        <f ca="1">SUMPRODUCT(('Grupa A'!$P$7:$P$21='Rangiranje A'!A3)*('Grupa A'!$O$7:$O$21&lt;'Grupa A'!$N$7:$N$21))+SUMPRODUCT(('Grupa A'!$U$7:$U$19='Rangiranje A'!A3)*('Grupa A'!$T$7:$T$19&lt;'Grupa A'!$S$7:$S$19))</f>
        <v>0</v>
      </c>
      <c r="W3" s="17">
        <f ca="1">SUMIF('Grupa A'!$P$7:$P$21,'Rangiranje A'!A3,'Grupa A'!$O$7:$O$21)+SUMIF('Grupa A'!$U$7:$U$19,'Rangiranje A'!A3,'Grupa A'!$T$7:$T$19)</f>
        <v>0</v>
      </c>
      <c r="X3" s="17">
        <f ca="1">SUMIF('Grupa A'!$P$7:$P$21,'Rangiranje A'!A3,'Grupa A'!$N$7:$N$21)+SUMIF('Grupa A'!$U$7:$U$19,'Rangiranje A'!A3,'Grupa A'!$S$7:$S$19)</f>
        <v>0</v>
      </c>
      <c r="Y3" s="17">
        <f ca="1">W3-X3</f>
        <v>0</v>
      </c>
      <c r="Z3" s="18">
        <f ca="1">T3*3+U3</f>
        <v>0</v>
      </c>
      <c r="AB3" s="2">
        <f ca="1">RANK(J3,$J$3:$J$8)</f>
        <v>1</v>
      </c>
      <c r="AC3" s="2">
        <f ca="1">RANK(AC10,$AC$10:$AC$15)</f>
        <v>1</v>
      </c>
      <c r="AD3" s="2">
        <f ca="1">RANK(I3,$I$3:$I$8)</f>
        <v>1</v>
      </c>
      <c r="AE3" s="2">
        <f ca="1">RANK(G3,$G$3:$G$8)</f>
        <v>1</v>
      </c>
      <c r="AF3" s="2">
        <f ca="1">RANK(D3,$D$3:$D$8)</f>
        <v>1</v>
      </c>
      <c r="AG3" s="2">
        <f ca="1">RANK(H3,$H$3:$H$8)</f>
        <v>1</v>
      </c>
      <c r="AH3" s="2">
        <f ca="1">RANK(C3,$C$3:$C$8)</f>
        <v>1</v>
      </c>
    </row>
    <row r="4" spans="1:34" ht="16.5" thickTop="1" thickBot="1" x14ac:dyDescent="0.3">
      <c r="A4" s="1" t="str">
        <f>IF(Timovi!B5&lt;&gt;"",Timovi!B5,0) &amp; " " &amp; "("&amp;Timovi!C5&amp;")"</f>
        <v>0 ()</v>
      </c>
      <c r="B4" s="2">
        <f t="shared" ref="B4:B8" ca="1" si="1">(AB4&amp;"."&amp;TEXT(AH4,"0")&amp;TEXT(AC4,"0")&amp;TEXT(AD4,"0")&amp;TEXT(AE4,"0")&amp;TEXT(AF4,"0")&amp;TEXT(AG4,"0"))+0</f>
        <v>1.111111</v>
      </c>
      <c r="C4" s="14">
        <f ca="1">SUM(D4:F4)</f>
        <v>0</v>
      </c>
      <c r="D4" s="14">
        <f t="shared" ref="D4:D8" ca="1" si="2">L4+T4</f>
        <v>0</v>
      </c>
      <c r="E4" s="14">
        <f t="shared" ref="E4:E8" ca="1" si="3">M4+U4</f>
        <v>0</v>
      </c>
      <c r="F4" s="14">
        <f t="shared" ref="F4:F8" ca="1" si="4">N4+V4</f>
        <v>0</v>
      </c>
      <c r="G4" s="14">
        <f t="shared" ref="G4:G8" ca="1" si="5">O4+W4</f>
        <v>0</v>
      </c>
      <c r="H4" s="14">
        <f ca="1">P4+X4</f>
        <v>0</v>
      </c>
      <c r="I4" s="14">
        <f t="shared" ref="I4:I7" ca="1" si="6">Q4+Y4</f>
        <v>0</v>
      </c>
      <c r="J4" s="14">
        <f t="shared" ref="J4:J8" ca="1" si="7">R4+Z4</f>
        <v>0</v>
      </c>
      <c r="K4" s="16">
        <f t="shared" ref="K4:K8" ca="1" si="8">SUM(L4:N4)</f>
        <v>0</v>
      </c>
      <c r="L4" s="17">
        <f ca="1">SUMPRODUCT(('Grupa A'!$M$7:$M$21='Rangiranje A'!A4)*('Grupa A'!$N$7:$N$21&gt;'Grupa A'!$O$7:$O$21))+SUMPRODUCT(('Grupa A'!$R$7:$R$19='Rangiranje A'!A4)*('Grupa A'!$S$7:$S$19&gt;'Grupa A'!$T$7:$T$19))</f>
        <v>0</v>
      </c>
      <c r="M4" s="17">
        <f ca="1">SUMPRODUCT(('Grupa A'!$M$7:$M$21='Rangiranje A'!A4)*('Grupa A'!$N$7:$N$21='Grupa A'!$O$7:$O$21)*('Grupa A'!$N$7:$N$21&lt;&gt;""))</f>
        <v>0</v>
      </c>
      <c r="N4" s="17">
        <f ca="1">SUMPRODUCT(('Grupa A'!$M$7:$M$21='Rangiranje A'!A4)*('Grupa A'!$N$7:$N$21&lt;'Grupa A'!$O$7:$O$21))+SUMPRODUCT(('Grupa A'!$R$7:$R$19='Rangiranje A'!A4)*('Grupa A'!$S$7:$S$19&lt;'Grupa A'!$T$7:$T$19))</f>
        <v>0</v>
      </c>
      <c r="O4" s="17">
        <f ca="1">SUMIF('Grupa A'!$M$7:$M$21,'Rangiranje A'!A4,'Grupa A'!$N$7:$N$21)+SUMIF('Grupa A'!$R$7:$R$19,'Rangiranje A'!A4,'Grupa A'!$S$7:$S$19)</f>
        <v>0</v>
      </c>
      <c r="P4" s="17">
        <f ca="1">SUMIF('Grupa A'!$M$7:$M$21,'Rangiranje A'!A4,'Grupa A'!$O$7:$O$21)+SUMIF('Grupa A'!$R$7:$R$19,'Rangiranje A'!A4,'Grupa A'!$T$7:$T$19)</f>
        <v>0</v>
      </c>
      <c r="Q4" s="17">
        <f t="shared" ref="Q4:Q8" ca="1" si="9">O4-P4</f>
        <v>0</v>
      </c>
      <c r="R4" s="18">
        <f t="shared" ref="R4:R8" ca="1" si="10">L4*3+M4</f>
        <v>0</v>
      </c>
      <c r="S4" s="16">
        <f t="shared" ref="S4:S8" ca="1" si="11">SUM(T4:V4)</f>
        <v>0</v>
      </c>
      <c r="T4" s="17">
        <f ca="1">SUMPRODUCT(('Grupa A'!$P$7:$P$21='Rangiranje A'!A4)*('Grupa A'!$O$7:$O$21&gt;'Grupa A'!$N$7:$N$21))+SUMPRODUCT(('Grupa A'!$U$7:$U$19='Rangiranje A'!A4)*('Grupa A'!$T$7:$T$19&gt;'Grupa A'!$S$7:$S$19))</f>
        <v>0</v>
      </c>
      <c r="U4" s="17">
        <f ca="1">SUMPRODUCT(('Grupa A'!$P$7:$P$21='Rangiranje A'!A4)*('Grupa A'!$O$7:$O$21='Grupa A'!$N$7:$N$21)*('Grupa A'!$O$7:$O$21&lt;&gt;""))</f>
        <v>0</v>
      </c>
      <c r="V4" s="17">
        <f ca="1">SUMPRODUCT(('Grupa A'!$P$7:$P$21='Rangiranje A'!A4)*('Grupa A'!$O$7:$O$21&lt;'Grupa A'!$N$7:$N$21))+SUMPRODUCT(('Grupa A'!$U$7:$U$19='Rangiranje A'!A4)*('Grupa A'!$T$7:$T$19&lt;'Grupa A'!$S$7:$S$19))</f>
        <v>0</v>
      </c>
      <c r="W4" s="17">
        <f ca="1">SUMIF('Grupa A'!$P$7:$P$21,'Rangiranje A'!A4,'Grupa A'!$O$7:$O$21)+SUMIF('Grupa A'!$U$7:$U$19,'Rangiranje A'!A4,'Grupa A'!$T$7:$T$19)</f>
        <v>0</v>
      </c>
      <c r="X4" s="17">
        <f ca="1">SUMIF('Grupa A'!$P$7:$P$21,'Rangiranje A'!A4,'Grupa A'!$N$7:$N$21)+SUMIF('Grupa A'!$U$7:$U$19,'Rangiranje A'!A4,'Grupa A'!$S$7:$S$19)</f>
        <v>0</v>
      </c>
      <c r="Y4" s="17">
        <f t="shared" ref="Y4:Y8" ca="1" si="12">W4-X4</f>
        <v>0</v>
      </c>
      <c r="Z4" s="18">
        <f t="shared" ref="Z4:Z8" ca="1" si="13">T4*3+U4</f>
        <v>0</v>
      </c>
      <c r="AB4" s="2">
        <f t="shared" ref="AB4:AB8" ca="1" si="14">RANK(J4,$J$3:$J$8)</f>
        <v>1</v>
      </c>
      <c r="AC4" s="2">
        <f t="shared" ref="AC4:AC8" ca="1" si="15">RANK(AC11,$AC$10:$AC$15)</f>
        <v>1</v>
      </c>
      <c r="AD4" s="2">
        <f t="shared" ref="AD4:AD8" ca="1" si="16">RANK(I4,$I$3:$I$8)</f>
        <v>1</v>
      </c>
      <c r="AE4" s="2">
        <f t="shared" ref="AE4:AE8" ca="1" si="17">RANK(G4,$G$3:$G$8)</f>
        <v>1</v>
      </c>
      <c r="AF4" s="2">
        <f ca="1">RANK(D4,$D$3:$D$8)</f>
        <v>1</v>
      </c>
      <c r="AG4" s="2">
        <f t="shared" ref="AG4:AG8" ca="1" si="18">RANK(H4,$H$3:$H$8)</f>
        <v>1</v>
      </c>
      <c r="AH4" s="2">
        <f t="shared" ref="AH4:AH8" ca="1" si="19">RANK(C4,$C$3:$C$8)</f>
        <v>1</v>
      </c>
    </row>
    <row r="5" spans="1:34" ht="16.5" thickTop="1" thickBot="1" x14ac:dyDescent="0.3">
      <c r="A5" s="1" t="str">
        <f>IF(Timovi!B6&lt;&gt;"",Timovi!B6,0) &amp; " " &amp; "("&amp;Timovi!C6&amp;")"</f>
        <v>0 ()</v>
      </c>
      <c r="B5" s="2">
        <f t="shared" ca="1" si="1"/>
        <v>1.111111</v>
      </c>
      <c r="C5" s="14">
        <f t="shared" ref="C5:C7" ca="1" si="20">SUM(D5:F5)</f>
        <v>0</v>
      </c>
      <c r="D5" s="14">
        <f t="shared" ca="1" si="2"/>
        <v>0</v>
      </c>
      <c r="E5" s="14">
        <f t="shared" ca="1" si="3"/>
        <v>0</v>
      </c>
      <c r="F5" s="14">
        <f t="shared" ca="1" si="4"/>
        <v>0</v>
      </c>
      <c r="G5" s="14">
        <f t="shared" ca="1" si="5"/>
        <v>0</v>
      </c>
      <c r="H5" s="14">
        <f t="shared" ref="H5:H8" ca="1" si="21">P5+X5</f>
        <v>0</v>
      </c>
      <c r="I5" s="14">
        <f t="shared" ca="1" si="6"/>
        <v>0</v>
      </c>
      <c r="J5" s="14">
        <f t="shared" ca="1" si="7"/>
        <v>0</v>
      </c>
      <c r="K5" s="16">
        <f t="shared" ca="1" si="8"/>
        <v>0</v>
      </c>
      <c r="L5" s="17">
        <f ca="1">SUMPRODUCT(('Grupa A'!$M$7:$M$21='Rangiranje A'!A5)*('Grupa A'!$N$7:$N$21&gt;'Grupa A'!$O$7:$O$21))+SUMPRODUCT(('Grupa A'!$R$7:$R$19='Rangiranje A'!A5)*('Grupa A'!$S$7:$S$19&gt;'Grupa A'!$T$7:$T$19))</f>
        <v>0</v>
      </c>
      <c r="M5" s="17">
        <f ca="1">SUMPRODUCT(('Grupa A'!$M$7:$M$21='Rangiranje A'!A5)*('Grupa A'!$N$7:$N$21='Grupa A'!$O$7:$O$21)*('Grupa A'!$N$7:$N$21&lt;&gt;""))</f>
        <v>0</v>
      </c>
      <c r="N5" s="17">
        <f ca="1">SUMPRODUCT(('Grupa A'!$M$7:$M$21='Rangiranje A'!A5)*('Grupa A'!$N$7:$N$21&lt;'Grupa A'!$O$7:$O$21))+SUMPRODUCT(('Grupa A'!$R$7:$R$19='Rangiranje A'!A5)*('Grupa A'!$S$7:$S$19&lt;'Grupa A'!$T$7:$T$19))</f>
        <v>0</v>
      </c>
      <c r="O5" s="17">
        <f ca="1">SUMIF('Grupa A'!$M$7:$M$21,'Rangiranje A'!A5,'Grupa A'!$N$7:$N$21)+SUMIF('Grupa A'!$R$7:$R$19,'Rangiranje A'!A5,'Grupa A'!$S$7:$S$19)</f>
        <v>0</v>
      </c>
      <c r="P5" s="17">
        <f ca="1">SUMIF('Grupa A'!$M$7:$M$21,'Rangiranje A'!A5,'Grupa A'!$O$7:$O$21)+SUMIF('Grupa A'!$R$7:$R$19,'Rangiranje A'!A5,'Grupa A'!$T$7:$T$19)</f>
        <v>0</v>
      </c>
      <c r="Q5" s="17">
        <f t="shared" ca="1" si="9"/>
        <v>0</v>
      </c>
      <c r="R5" s="18">
        <f t="shared" ca="1" si="10"/>
        <v>0</v>
      </c>
      <c r="S5" s="16">
        <f t="shared" ca="1" si="11"/>
        <v>0</v>
      </c>
      <c r="T5" s="17">
        <f ca="1">SUMPRODUCT(('Grupa A'!$P$7:$P$21='Rangiranje A'!A5)*('Grupa A'!$O$7:$O$21&gt;'Grupa A'!$N$7:$N$21))+SUMPRODUCT(('Grupa A'!$U$7:$U$19='Rangiranje A'!A5)*('Grupa A'!$T$7:$T$19&gt;'Grupa A'!$S$7:$S$19))</f>
        <v>0</v>
      </c>
      <c r="U5" s="17">
        <f ca="1">SUMPRODUCT(('Grupa A'!$P$7:$P$21='Rangiranje A'!A5)*('Grupa A'!$O$7:$O$21='Grupa A'!$N$7:$N$21)*('Grupa A'!$O$7:$O$21&lt;&gt;""))</f>
        <v>0</v>
      </c>
      <c r="V5" s="17">
        <f ca="1">SUMPRODUCT(('Grupa A'!$P$7:$P$21='Rangiranje A'!A5)*('Grupa A'!$O$7:$O$21&lt;'Grupa A'!$N$7:$N$21))+SUMPRODUCT(('Grupa A'!$U$7:$U$19='Rangiranje A'!A5)*('Grupa A'!$T$7:$T$19&lt;'Grupa A'!$S$7:$S$19))</f>
        <v>0</v>
      </c>
      <c r="W5" s="17">
        <f ca="1">SUMIF('Grupa A'!$P$7:$P$21,'Rangiranje A'!A5,'Grupa A'!$O$7:$O$21)+SUMIF('Grupa A'!$U$7:$U$19,'Rangiranje A'!A5,'Grupa A'!$T$7:$T$19)</f>
        <v>0</v>
      </c>
      <c r="X5" s="17">
        <f ca="1">SUMIF('Grupa A'!$P$7:$P$21,'Rangiranje A'!A5,'Grupa A'!$N$7:$N$21)+SUMIF('Grupa A'!$U$7:$U$19,'Rangiranje A'!A5,'Grupa A'!$S$7:$S$19)</f>
        <v>0</v>
      </c>
      <c r="Y5" s="17">
        <f t="shared" ca="1" si="12"/>
        <v>0</v>
      </c>
      <c r="Z5" s="18">
        <f t="shared" ca="1" si="13"/>
        <v>0</v>
      </c>
      <c r="AB5" s="2">
        <f t="shared" ca="1" si="14"/>
        <v>1</v>
      </c>
      <c r="AC5" s="2">
        <f t="shared" ca="1" si="15"/>
        <v>1</v>
      </c>
      <c r="AD5" s="2">
        <f t="shared" ca="1" si="16"/>
        <v>1</v>
      </c>
      <c r="AE5" s="2">
        <f t="shared" ca="1" si="17"/>
        <v>1</v>
      </c>
      <c r="AF5" s="2">
        <f t="shared" ref="AF5:AF8" ca="1" si="22">RANK(D5,$D$3:$D$8)</f>
        <v>1</v>
      </c>
      <c r="AG5" s="2">
        <f t="shared" ca="1" si="18"/>
        <v>1</v>
      </c>
      <c r="AH5" s="2">
        <f t="shared" ca="1" si="19"/>
        <v>1</v>
      </c>
    </row>
    <row r="6" spans="1:34" ht="16.5" thickTop="1" thickBot="1" x14ac:dyDescent="0.3">
      <c r="A6" s="1" t="str">
        <f>IF(Timovi!B7&lt;&gt;"",Timovi!B7,0) &amp; " " &amp; "("&amp;Timovi!C7&amp;")"</f>
        <v>0 ()</v>
      </c>
      <c r="B6" s="2">
        <f t="shared" ca="1" si="1"/>
        <v>1.111111</v>
      </c>
      <c r="C6" s="14">
        <f t="shared" ca="1" si="20"/>
        <v>0</v>
      </c>
      <c r="D6" s="14">
        <f t="shared" ca="1" si="2"/>
        <v>0</v>
      </c>
      <c r="E6" s="14">
        <f t="shared" ca="1" si="3"/>
        <v>0</v>
      </c>
      <c r="F6" s="14">
        <f t="shared" ca="1" si="4"/>
        <v>0</v>
      </c>
      <c r="G6" s="14">
        <f t="shared" ca="1" si="5"/>
        <v>0</v>
      </c>
      <c r="H6" s="14">
        <f t="shared" ca="1" si="21"/>
        <v>0</v>
      </c>
      <c r="I6" s="14">
        <f t="shared" ca="1" si="6"/>
        <v>0</v>
      </c>
      <c r="J6" s="14">
        <f t="shared" ca="1" si="7"/>
        <v>0</v>
      </c>
      <c r="K6" s="16">
        <f t="shared" ca="1" si="8"/>
        <v>0</v>
      </c>
      <c r="L6" s="17">
        <f ca="1">SUMPRODUCT(('Grupa A'!$M$7:$M$21='Rangiranje A'!A6)*('Grupa A'!$N$7:$N$21&gt;'Grupa A'!$O$7:$O$21))+SUMPRODUCT(('Grupa A'!$R$7:$R$19='Rangiranje A'!A6)*('Grupa A'!$S$7:$S$19&gt;'Grupa A'!$T$7:$T$19))</f>
        <v>0</v>
      </c>
      <c r="M6" s="17">
        <f ca="1">SUMPRODUCT(('Grupa A'!$M$7:$M$21='Rangiranje A'!A6)*('Grupa A'!$N$7:$N$21='Grupa A'!$O$7:$O$21)*('Grupa A'!$N$7:$N$21&lt;&gt;""))</f>
        <v>0</v>
      </c>
      <c r="N6" s="17">
        <f ca="1">SUMPRODUCT(('Grupa A'!$M$7:$M$21='Rangiranje A'!A6)*('Grupa A'!$N$7:$N$21&lt;'Grupa A'!$O$7:$O$21))+SUMPRODUCT(('Grupa A'!$R$7:$R$19='Rangiranje A'!A6)*('Grupa A'!$S$7:$S$19&lt;'Grupa A'!$T$7:$T$19))</f>
        <v>0</v>
      </c>
      <c r="O6" s="17">
        <f ca="1">SUMIF('Grupa A'!$M$7:$M$21,'Rangiranje A'!A6,'Grupa A'!$N$7:$N$21)+SUMIF('Grupa A'!$R$7:$R$19,'Rangiranje A'!A6,'Grupa A'!$S$7:$S$19)</f>
        <v>0</v>
      </c>
      <c r="P6" s="17">
        <f ca="1">SUMIF('Grupa A'!$M$7:$M$21,'Rangiranje A'!A6,'Grupa A'!$O$7:$O$21)+SUMIF('Grupa A'!$R$7:$R$19,'Rangiranje A'!A6,'Grupa A'!$T$7:$T$19)</f>
        <v>0</v>
      </c>
      <c r="Q6" s="17">
        <f t="shared" ca="1" si="9"/>
        <v>0</v>
      </c>
      <c r="R6" s="18">
        <f t="shared" ca="1" si="10"/>
        <v>0</v>
      </c>
      <c r="S6" s="16">
        <f t="shared" ca="1" si="11"/>
        <v>0</v>
      </c>
      <c r="T6" s="17">
        <f ca="1">SUMPRODUCT(('Grupa A'!$P$7:$P$21='Rangiranje A'!A6)*('Grupa A'!$O$7:$O$21&gt;'Grupa A'!$N$7:$N$21))+SUMPRODUCT(('Grupa A'!$U$7:$U$19='Rangiranje A'!A6)*('Grupa A'!$T$7:$T$19&gt;'Grupa A'!$S$7:$S$19))</f>
        <v>0</v>
      </c>
      <c r="U6" s="17">
        <f ca="1">SUMPRODUCT(('Grupa A'!$P$7:$P$21='Rangiranje A'!A6)*('Grupa A'!$O$7:$O$21='Grupa A'!$N$7:$N$21)*('Grupa A'!$O$7:$O$21&lt;&gt;""))</f>
        <v>0</v>
      </c>
      <c r="V6" s="17">
        <f ca="1">SUMPRODUCT(('Grupa A'!$P$7:$P$21='Rangiranje A'!A6)*('Grupa A'!$O$7:$O$21&lt;'Grupa A'!$N$7:$N$21))+SUMPRODUCT(('Grupa A'!$U$7:$U$19='Rangiranje A'!A6)*('Grupa A'!$T$7:$T$19&lt;'Grupa A'!$S$7:$S$19))</f>
        <v>0</v>
      </c>
      <c r="W6" s="17">
        <f ca="1">SUMIF('Grupa A'!$P$7:$P$21,'Rangiranje A'!A6,'Grupa A'!$O$7:$O$21)+SUMIF('Grupa A'!$U$7:$U$19,'Rangiranje A'!A6,'Grupa A'!$T$7:$T$19)</f>
        <v>0</v>
      </c>
      <c r="X6" s="17">
        <f ca="1">SUMIF('Grupa A'!$P$7:$P$21,'Rangiranje A'!A6,'Grupa A'!$N$7:$N$21)+SUMIF('Grupa A'!$U$7:$U$19,'Rangiranje A'!A6,'Grupa A'!$S$7:$S$19)</f>
        <v>0</v>
      </c>
      <c r="Y6" s="17">
        <f t="shared" ca="1" si="12"/>
        <v>0</v>
      </c>
      <c r="Z6" s="18">
        <f t="shared" ca="1" si="13"/>
        <v>0</v>
      </c>
      <c r="AB6" s="2">
        <f t="shared" ca="1" si="14"/>
        <v>1</v>
      </c>
      <c r="AC6" s="2">
        <f t="shared" ca="1" si="15"/>
        <v>1</v>
      </c>
      <c r="AD6" s="2">
        <f t="shared" ca="1" si="16"/>
        <v>1</v>
      </c>
      <c r="AE6" s="2">
        <f t="shared" ca="1" si="17"/>
        <v>1</v>
      </c>
      <c r="AF6" s="2">
        <f t="shared" ca="1" si="22"/>
        <v>1</v>
      </c>
      <c r="AG6" s="2">
        <f t="shared" ca="1" si="18"/>
        <v>1</v>
      </c>
      <c r="AH6" s="2">
        <f t="shared" ca="1" si="19"/>
        <v>1</v>
      </c>
    </row>
    <row r="7" spans="1:34" ht="16.5" thickTop="1" thickBot="1" x14ac:dyDescent="0.3">
      <c r="A7" s="1" t="str">
        <f>IF(Timovi!B8&lt;&gt;"",Timovi!B8,0) &amp; " " &amp; "("&amp;Timovi!C8&amp;")"</f>
        <v>0 ()</v>
      </c>
      <c r="B7" s="2">
        <f t="shared" ca="1" si="1"/>
        <v>1.111111</v>
      </c>
      <c r="C7" s="14">
        <f t="shared" ca="1" si="20"/>
        <v>0</v>
      </c>
      <c r="D7" s="14">
        <f t="shared" ca="1" si="2"/>
        <v>0</v>
      </c>
      <c r="E7" s="14">
        <f t="shared" ca="1" si="3"/>
        <v>0</v>
      </c>
      <c r="F7" s="14">
        <f t="shared" ca="1" si="4"/>
        <v>0</v>
      </c>
      <c r="G7" s="14">
        <f t="shared" ca="1" si="5"/>
        <v>0</v>
      </c>
      <c r="H7" s="14">
        <f t="shared" ca="1" si="21"/>
        <v>0</v>
      </c>
      <c r="I7" s="14">
        <f t="shared" ca="1" si="6"/>
        <v>0</v>
      </c>
      <c r="J7" s="14">
        <f t="shared" ca="1" si="7"/>
        <v>0</v>
      </c>
      <c r="K7" s="16">
        <f t="shared" ca="1" si="8"/>
        <v>0</v>
      </c>
      <c r="L7" s="17">
        <f ca="1">SUMPRODUCT(('Grupa A'!$M$7:$M$21='Rangiranje A'!A7)*('Grupa A'!$N$7:$N$21&gt;'Grupa A'!$O$7:$O$21))+SUMPRODUCT(('Grupa A'!$R$7:$R$19='Rangiranje A'!A7)*('Grupa A'!$S$7:$S$19&gt;'Grupa A'!$T$7:$T$19))</f>
        <v>0</v>
      </c>
      <c r="M7" s="17">
        <f ca="1">SUMPRODUCT(('Grupa A'!$M$7:$M$21='Rangiranje A'!A7)*('Grupa A'!$N$7:$N$21='Grupa A'!$O$7:$O$21)*('Grupa A'!$N$7:$N$21&lt;&gt;""))</f>
        <v>0</v>
      </c>
      <c r="N7" s="17">
        <f ca="1">SUMPRODUCT(('Grupa A'!$M$7:$M$21='Rangiranje A'!A7)*('Grupa A'!$N$7:$N$21&lt;'Grupa A'!$O$7:$O$21))+SUMPRODUCT(('Grupa A'!$R$7:$R$19='Rangiranje A'!A7)*('Grupa A'!$S$7:$S$19&lt;'Grupa A'!$T$7:$T$19))</f>
        <v>0</v>
      </c>
      <c r="O7" s="17">
        <f ca="1">SUMIF('Grupa A'!$M$7:$M$21,'Rangiranje A'!A7,'Grupa A'!$N$7:$N$21)+SUMIF('Grupa A'!$R$7:$R$19,'Rangiranje A'!A7,'Grupa A'!$S$7:$S$19)</f>
        <v>0</v>
      </c>
      <c r="P7" s="17">
        <f ca="1">SUMIF('Grupa A'!$M$7:$M$21,'Rangiranje A'!A7,'Grupa A'!$O$7:$O$21)+SUMIF('Grupa A'!$R$7:$R$19,'Rangiranje A'!A7,'Grupa A'!$T$7:$T$19)</f>
        <v>0</v>
      </c>
      <c r="Q7" s="17">
        <f t="shared" ca="1" si="9"/>
        <v>0</v>
      </c>
      <c r="R7" s="18">
        <f t="shared" ca="1" si="10"/>
        <v>0</v>
      </c>
      <c r="S7" s="16">
        <f t="shared" ca="1" si="11"/>
        <v>0</v>
      </c>
      <c r="T7" s="17">
        <f ca="1">SUMPRODUCT(('Grupa A'!$P$7:$P$21='Rangiranje A'!A7)*('Grupa A'!$O$7:$O$21&gt;'Grupa A'!$N$7:$N$21))+SUMPRODUCT(('Grupa A'!$U$7:$U$19='Rangiranje A'!A7)*('Grupa A'!$T$7:$T$19&gt;'Grupa A'!$S$7:$S$19))</f>
        <v>0</v>
      </c>
      <c r="U7" s="17">
        <f ca="1">SUMPRODUCT(('Grupa A'!$P$7:$P$21='Rangiranje A'!A7)*('Grupa A'!$O$7:$O$21='Grupa A'!$N$7:$N$21)*('Grupa A'!$O$7:$O$21&lt;&gt;""))</f>
        <v>0</v>
      </c>
      <c r="V7" s="17">
        <f ca="1">SUMPRODUCT(('Grupa A'!$P$7:$P$21='Rangiranje A'!A7)*('Grupa A'!$O$7:$O$21&lt;'Grupa A'!$N$7:$N$21))+SUMPRODUCT(('Grupa A'!$U$7:$U$19='Rangiranje A'!A7)*('Grupa A'!$T$7:$T$19&lt;'Grupa A'!$S$7:$S$19))</f>
        <v>0</v>
      </c>
      <c r="W7" s="17">
        <f ca="1">SUMIF('Grupa A'!$P$7:$P$21,'Rangiranje A'!A7,'Grupa A'!$O$7:$O$21)+SUMIF('Grupa A'!$U$7:$U$19,'Rangiranje A'!A7,'Grupa A'!$T$7:$T$19)</f>
        <v>0</v>
      </c>
      <c r="X7" s="17">
        <f ca="1">SUMIF('Grupa A'!$P$7:$P$21,'Rangiranje A'!A7,'Grupa A'!$N$7:$N$21)+SUMIF('Grupa A'!$U$7:$U$19,'Rangiranje A'!A7,'Grupa A'!$S$7:$S$19)</f>
        <v>0</v>
      </c>
      <c r="Y7" s="17">
        <f t="shared" ca="1" si="12"/>
        <v>0</v>
      </c>
      <c r="Z7" s="18">
        <f t="shared" ca="1" si="13"/>
        <v>0</v>
      </c>
      <c r="AB7" s="2">
        <f t="shared" ca="1" si="14"/>
        <v>1</v>
      </c>
      <c r="AC7" s="2">
        <f t="shared" ca="1" si="15"/>
        <v>1</v>
      </c>
      <c r="AD7" s="2">
        <f t="shared" ca="1" si="16"/>
        <v>1</v>
      </c>
      <c r="AE7" s="2">
        <f t="shared" ca="1" si="17"/>
        <v>1</v>
      </c>
      <c r="AF7" s="2">
        <f t="shared" ca="1" si="22"/>
        <v>1</v>
      </c>
      <c r="AG7" s="2">
        <f t="shared" ca="1" si="18"/>
        <v>1</v>
      </c>
      <c r="AH7" s="2">
        <f t="shared" ca="1" si="19"/>
        <v>1</v>
      </c>
    </row>
    <row r="8" spans="1:34" ht="16.5" thickTop="1" thickBot="1" x14ac:dyDescent="0.3">
      <c r="A8" s="1" t="str">
        <f>IF(Timovi!B9&lt;&gt;"",Timovi!B9,0) &amp; " " &amp; "("&amp;Timovi!C9&amp;")"</f>
        <v>0 ()</v>
      </c>
      <c r="B8" s="2">
        <f t="shared" ca="1" si="1"/>
        <v>1.111111</v>
      </c>
      <c r="C8" s="14">
        <f ca="1">SUM(D8:F8)</f>
        <v>0</v>
      </c>
      <c r="D8" s="14">
        <f t="shared" ca="1" si="2"/>
        <v>0</v>
      </c>
      <c r="E8" s="14">
        <f t="shared" ca="1" si="3"/>
        <v>0</v>
      </c>
      <c r="F8" s="14">
        <f t="shared" ca="1" si="4"/>
        <v>0</v>
      </c>
      <c r="G8" s="14">
        <f t="shared" ca="1" si="5"/>
        <v>0</v>
      </c>
      <c r="H8" s="14">
        <f t="shared" ca="1" si="21"/>
        <v>0</v>
      </c>
      <c r="I8" s="14">
        <f ca="1">Q8+Y8</f>
        <v>0</v>
      </c>
      <c r="J8" s="14">
        <f t="shared" ca="1" si="7"/>
        <v>0</v>
      </c>
      <c r="K8" s="16">
        <f t="shared" ca="1" si="8"/>
        <v>0</v>
      </c>
      <c r="L8" s="17">
        <f ca="1">SUMPRODUCT(('Grupa A'!$M$7:$M$21='Rangiranje A'!A8)*('Grupa A'!$N$7:$N$21&gt;'Grupa A'!$O$7:$O$21))+SUMPRODUCT(('Grupa A'!$R$7:$R$19='Rangiranje A'!A8)*('Grupa A'!$S$7:$S$19&gt;'Grupa A'!$T$7:$T$19))</f>
        <v>0</v>
      </c>
      <c r="M8" s="17">
        <f ca="1">SUMPRODUCT(('Grupa A'!$M$7:$M$21='Rangiranje A'!A8)*('Grupa A'!$N$7:$N$21='Grupa A'!$O$7:$O$21)*('Grupa A'!$N$7:$N$21&lt;&gt;""))</f>
        <v>0</v>
      </c>
      <c r="N8" s="17">
        <f ca="1">SUMPRODUCT(('Grupa A'!$M$7:$M$21='Rangiranje A'!A8)*('Grupa A'!$N$7:$N$21&lt;'Grupa A'!$O$7:$O$21))+SUMPRODUCT(('Grupa A'!$R$7:$R$19='Rangiranje A'!A8)*('Grupa A'!$S$7:$S$19&lt;'Grupa A'!$T$7:$T$19))</f>
        <v>0</v>
      </c>
      <c r="O8" s="17">
        <f ca="1">SUMIF('Grupa A'!$M$7:$M$21,'Rangiranje A'!A8,'Grupa A'!$N$7:$N$21)+SUMIF('Grupa A'!$R$7:$R$19,'Rangiranje A'!A8,'Grupa A'!$S$7:$S$19)</f>
        <v>0</v>
      </c>
      <c r="P8" s="17">
        <f ca="1">SUMIF('Grupa A'!$M$7:$M$21,'Rangiranje A'!A8,'Grupa A'!$O$7:$O$21)+SUMIF('Grupa A'!$R$7:$R$19,'Rangiranje A'!A8,'Grupa A'!$T$7:$T$19)</f>
        <v>0</v>
      </c>
      <c r="Q8" s="17">
        <f t="shared" ca="1" si="9"/>
        <v>0</v>
      </c>
      <c r="R8" s="18">
        <f t="shared" ca="1" si="10"/>
        <v>0</v>
      </c>
      <c r="S8" s="16">
        <f t="shared" ca="1" si="11"/>
        <v>0</v>
      </c>
      <c r="T8" s="17">
        <f ca="1">SUMPRODUCT(('Grupa A'!$P$7:$P$21='Rangiranje A'!A8)*('Grupa A'!$O$7:$O$21&gt;'Grupa A'!$N$7:$N$21))+SUMPRODUCT(('Grupa A'!$U$7:$U$19='Rangiranje A'!A8)*('Grupa A'!$T$7:$T$19&gt;'Grupa A'!$S$7:$S$19))</f>
        <v>0</v>
      </c>
      <c r="U8" s="17">
        <f ca="1">SUMPRODUCT(('Grupa A'!$P$7:$P$21='Rangiranje A'!A8)*('Grupa A'!$O$7:$O$21='Grupa A'!$N$7:$N$21)*('Grupa A'!$O$7:$O$21&lt;&gt;""))</f>
        <v>0</v>
      </c>
      <c r="V8" s="17">
        <f ca="1">SUMPRODUCT(('Grupa A'!$P$7:$P$21='Rangiranje A'!A8)*('Grupa A'!$O$7:$O$21&lt;'Grupa A'!$N$7:$N$21))+SUMPRODUCT(('Grupa A'!$U$7:$U$19='Rangiranje A'!A8)*('Grupa A'!$T$7:$T$19&lt;'Grupa A'!$S$7:$S$19))</f>
        <v>0</v>
      </c>
      <c r="W8" s="17">
        <f ca="1">SUMIF('Grupa A'!$P$7:$P$21,'Rangiranje A'!A8,'Grupa A'!$O$7:$O$21)+SUMIF('Grupa A'!$U$7:$U$19,'Rangiranje A'!A8,'Grupa A'!$T$7:$T$19)</f>
        <v>0</v>
      </c>
      <c r="X8" s="17">
        <f ca="1">SUMIF('Grupa A'!$P$7:$P$21,'Rangiranje A'!A8,'Grupa A'!$N$7:$N$21)+SUMIF('Grupa A'!$U$7:$U$19,'Rangiranje A'!A8,'Grupa A'!$S$7:$S$19)</f>
        <v>0</v>
      </c>
      <c r="Y8" s="17">
        <f t="shared" ca="1" si="12"/>
        <v>0</v>
      </c>
      <c r="Z8" s="18">
        <f t="shared" ca="1" si="13"/>
        <v>0</v>
      </c>
      <c r="AB8" s="2">
        <f t="shared" ca="1" si="14"/>
        <v>1</v>
      </c>
      <c r="AC8" s="2">
        <f t="shared" ca="1" si="15"/>
        <v>1</v>
      </c>
      <c r="AD8" s="2">
        <f t="shared" ca="1" si="16"/>
        <v>1</v>
      </c>
      <c r="AE8" s="2">
        <f t="shared" ca="1" si="17"/>
        <v>1</v>
      </c>
      <c r="AF8" s="2">
        <f t="shared" ca="1" si="22"/>
        <v>1</v>
      </c>
      <c r="AG8" s="2">
        <f t="shared" ca="1" si="18"/>
        <v>1</v>
      </c>
      <c r="AH8" s="2">
        <f t="shared" ca="1" si="19"/>
        <v>1</v>
      </c>
    </row>
    <row r="9" spans="1:34" ht="15.75" thickTop="1" x14ac:dyDescent="0.25">
      <c r="AC9" s="3" t="s">
        <v>59</v>
      </c>
    </row>
    <row r="10" spans="1:34" x14ac:dyDescent="0.25">
      <c r="AC10" s="8">
        <f ca="1">INDEX('Medjusobni susret A'!$R$2:$R$7,MATCH(A3,'Medjusobni susret A'!$I$2:$I$7,0),1)</f>
        <v>0</v>
      </c>
    </row>
    <row r="11" spans="1:34" x14ac:dyDescent="0.25">
      <c r="AC11" s="8">
        <f ca="1">INDEX('Medjusobni susret A'!$R$2:$R$7,MATCH(A4,'Medjusobni susret A'!$I$2:$I$7,0),1)</f>
        <v>0</v>
      </c>
    </row>
    <row r="12" spans="1:34" x14ac:dyDescent="0.25">
      <c r="AC12" s="8">
        <f ca="1">INDEX('Medjusobni susret A'!$R$2:$R$7,MATCH(A5,'Medjusobni susret A'!$I$2:$I$7,0),1)</f>
        <v>0</v>
      </c>
    </row>
    <row r="13" spans="1:34" x14ac:dyDescent="0.25">
      <c r="AC13" s="8">
        <f ca="1">INDEX('Medjusobni susret A'!$R$2:$R$7,MATCH(A6,'Medjusobni susret A'!$I$2:$I$7,0),1)</f>
        <v>0</v>
      </c>
    </row>
    <row r="14" spans="1:34" x14ac:dyDescent="0.25">
      <c r="AC14" s="8">
        <f ca="1">INDEX('Medjusobni susret A'!$R$2:$R$7,MATCH(A7,'Medjusobni susret A'!$I$2:$I$7,0),1)</f>
        <v>0</v>
      </c>
    </row>
    <row r="15" spans="1:34" x14ac:dyDescent="0.25">
      <c r="AC15" s="8">
        <f ca="1">INDEX('Medjusobni susret A'!$R$2:$R$7,MATCH(A8,'Medjusobni susret A'!$I$2:$I$7,0),1)</f>
        <v>0</v>
      </c>
    </row>
    <row r="16" spans="1:34" x14ac:dyDescent="0.25">
      <c r="AC16" s="8"/>
    </row>
  </sheetData>
  <mergeCells count="3">
    <mergeCell ref="C1:J1"/>
    <mergeCell ref="K1:R1"/>
    <mergeCell ref="S1:Z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16"/>
  <sheetViews>
    <sheetView workbookViewId="0">
      <selection activeCell="C2" sqref="C2"/>
    </sheetView>
  </sheetViews>
  <sheetFormatPr defaultRowHeight="15" x14ac:dyDescent="0.25"/>
  <cols>
    <col min="1" max="1" width="8.7109375" bestFit="1" customWidth="1"/>
    <col min="3" max="4" width="6.7109375" customWidth="1"/>
    <col min="7" max="7" width="26.28515625" customWidth="1"/>
    <col min="9" max="9" width="25.140625" bestFit="1" customWidth="1"/>
    <col min="12" max="12" width="8.28515625" customWidth="1"/>
    <col min="13" max="13" width="6.85546875" customWidth="1"/>
    <col min="14" max="14" width="9.28515625" customWidth="1"/>
    <col min="15" max="15" width="7.28515625" customWidth="1"/>
    <col min="16" max="16" width="8.85546875" customWidth="1"/>
    <col min="17" max="17" width="7.85546875" customWidth="1"/>
    <col min="18" max="22" width="9.140625" customWidth="1"/>
  </cols>
  <sheetData>
    <row r="1" spans="1:22" x14ac:dyDescent="0.25">
      <c r="A1" s="8" t="s">
        <v>37</v>
      </c>
      <c r="B1" s="8" t="s">
        <v>56</v>
      </c>
      <c r="C1" s="135" t="s">
        <v>38</v>
      </c>
      <c r="D1" s="135"/>
      <c r="E1" s="8" t="s">
        <v>56</v>
      </c>
      <c r="F1" s="8" t="s">
        <v>39</v>
      </c>
      <c r="J1" s="20" t="s">
        <v>57</v>
      </c>
      <c r="K1" s="21"/>
      <c r="L1" s="20" t="str">
        <f>I2</f>
        <v>0 ()</v>
      </c>
      <c r="M1" s="20" t="str">
        <f>I3</f>
        <v>0 ()</v>
      </c>
      <c r="N1" s="20" t="str">
        <f>I4</f>
        <v>0 ()</v>
      </c>
      <c r="O1" s="20" t="str">
        <f>I5</f>
        <v>0 ()</v>
      </c>
      <c r="P1" s="20" t="str">
        <f>I6</f>
        <v>0 ()</v>
      </c>
      <c r="Q1" s="20" t="str">
        <f>I7</f>
        <v>0 ()</v>
      </c>
      <c r="R1" s="15" t="s">
        <v>58</v>
      </c>
      <c r="S1" s="8"/>
      <c r="T1" s="8"/>
      <c r="U1" s="8"/>
      <c r="V1" s="8"/>
    </row>
    <row r="2" spans="1:22" x14ac:dyDescent="0.25">
      <c r="A2" s="1" t="str">
        <f ca="1">'Grupa A'!M7</f>
        <v xml:space="preserve"> ()</v>
      </c>
      <c r="B2" s="2" t="str">
        <f>IF(C2="","",IF(C2&gt;D2,"W",IF(C2&lt;D2,"L","D")))</f>
        <v/>
      </c>
      <c r="C2" s="1" t="str">
        <f>IF('Grupa A'!N7="","",'Grupa A'!N7)</f>
        <v/>
      </c>
      <c r="D2" s="19" t="str">
        <f>IF('Grupa A'!O7="","",'Grupa A'!O7)</f>
        <v/>
      </c>
      <c r="E2" s="8" t="str">
        <f>IF(D2="","",IF(D2&gt;C2,"W",IF(D2&lt;C2,"L","D")))</f>
        <v/>
      </c>
      <c r="F2" s="19" t="str">
        <f ca="1">'Grupa A'!P7</f>
        <v xml:space="preserve"> ()</v>
      </c>
      <c r="G2" s="47" t="str">
        <f ca="1">CONCATENATE(A2,F2,IF(B2="","",IF(B2="W",A2,IF(B2="L",F2,"D"))))</f>
        <v xml:space="preserve"> () ()</v>
      </c>
      <c r="I2" s="1" t="str">
        <f>'Rangiranje A'!A3</f>
        <v>0 ()</v>
      </c>
      <c r="J2" s="8">
        <f ca="1">'Rangiranje A'!J3</f>
        <v>0</v>
      </c>
      <c r="K2" s="8">
        <f ca="1">COUNTIF($J$2:$J$7,J2)</f>
        <v>6</v>
      </c>
      <c r="L2" s="22"/>
      <c r="M2" s="8">
        <f ca="1">IF($J2=$J3,(COUNTIF($G:$G,CONCATENATE($I2,$I3,$I2))+COUNTIF($G:$G,CONCATENATE($I3,$I2,$I2)))*3+COUNTIF($G:$G,CONCATENATE($I2,$I3,"D"))+COUNTIF($G:$G,CONCATENATE($I3,$I2,"D")),"")</f>
        <v>0</v>
      </c>
      <c r="N2" s="8">
        <f ca="1">IF($J2=$J4,(COUNTIF($G:$G,CONCATENATE($I2,$I4,$I2))+COUNTIF($G:$G,CONCATENATE($I4,$I2,$I2)))*3+COUNTIF($G:$G,CONCATENATE($I2,$I4,"D"))+COUNTIF($G:$G,CONCATENATE($I4,$I2,"D")),"")</f>
        <v>0</v>
      </c>
      <c r="O2" s="8">
        <f ca="1">IF($J2=$J5,(COUNTIF($G:$G,CONCATENATE($I2,$I5,$I2))+COUNTIF($G:$G,CONCATENATE($I5,$I2,$I2)))*3+COUNTIF($G:$G,CONCATENATE($I2,$I5,"D"))+COUNTIF($G:$G,CONCATENATE($I5,$I2,"D")),"")</f>
        <v>0</v>
      </c>
      <c r="P2" s="8">
        <f ca="1">IF($J2=$J6,(COUNTIF($G:$G,CONCATENATE($I2,$I6,$I2))+COUNTIF($G:$G,CONCATENATE($I6,$I2,$I2)))*3+COUNTIF($G:$G,CONCATENATE($I2,$I6,"D"))+COUNTIF($G:$G,CONCATENATE($I6,$I2,"D")),"")</f>
        <v>0</v>
      </c>
      <c r="Q2" s="8">
        <f ca="1">IF($J2=$J7,(COUNTIF($G:$G,CONCATENATE($I2,$I7,$I2))+COUNTIF($G:$G,CONCATENATE($I7,$I2,$I2)))*3+COUNTIF($G:$G,CONCATENATE($I2,$I7,"D"))+COUNTIF($G:$G,CONCATENATE($I7,$I2,"D")),"")</f>
        <v>0</v>
      </c>
      <c r="R2" s="8">
        <f t="shared" ref="R2:R7" ca="1" si="0">SUM(L2:Q2)</f>
        <v>0</v>
      </c>
    </row>
    <row r="3" spans="1:22" x14ac:dyDescent="0.25">
      <c r="A3" s="1" t="str">
        <f ca="1">'Grupa A'!M8</f>
        <v/>
      </c>
      <c r="B3" s="2" t="str">
        <f t="shared" ref="B3:B16" si="1">IF(C3="","",IF(C3&gt;D3,"W",IF(C3&lt;D3,"L","D")))</f>
        <v/>
      </c>
      <c r="C3" s="1" t="str">
        <f>IF('Grupa A'!N8="","",'Grupa A'!N8)</f>
        <v/>
      </c>
      <c r="D3" s="19" t="str">
        <f>IF('Grupa A'!O8="","",'Grupa A'!O8)</f>
        <v/>
      </c>
      <c r="E3" s="8" t="str">
        <f t="shared" ref="E3:E16" si="2">IF(D3="","",IF(D3&gt;C3,"W",IF(D3&lt;C3,"L","D")))</f>
        <v/>
      </c>
      <c r="F3" s="19" t="str">
        <f ca="1">'Grupa A'!P8</f>
        <v/>
      </c>
      <c r="G3" t="str">
        <f t="shared" ref="G3:G16" ca="1" si="3">CONCATENATE(A3,F3,IF(B3="","",IF(B3="W",A3,IF(B3="L",F3,"D"))))</f>
        <v/>
      </c>
      <c r="I3" s="1" t="str">
        <f>'Rangiranje A'!A4</f>
        <v>0 ()</v>
      </c>
      <c r="J3" s="8">
        <f ca="1">'Rangiranje A'!J4</f>
        <v>0</v>
      </c>
      <c r="K3" s="8">
        <f t="shared" ref="K3:K7" ca="1" si="4">COUNTIF($J$2:$J$7,J3)</f>
        <v>6</v>
      </c>
      <c r="L3" s="8">
        <f ca="1">IF($J3=$J2,(COUNTIF($G:$G,CONCATENATE($I3,$I2,$I3))+COUNTIF($G:$G,CONCATENATE($I2,$I3,$I3)))*3+COUNTIF($G:$G,CONCATENATE($I3,$I2,"D"))+COUNTIF($G:$G,CONCATENATE($I2,$I3,"D")),"")</f>
        <v>0</v>
      </c>
      <c r="M3" s="22"/>
      <c r="N3" s="8">
        <f ca="1">IF($J3=$J4,(COUNTIF($G:$G,CONCATENATE($I3,$I4,$I3))+COUNTIF($G:$G,CONCATENATE($I4,$I3,$I3)))*3+COUNTIF($G:$G,CONCATENATE($I3,$I4,"D"))+COUNTIF($G:$G,CONCATENATE($I4,$I3,"D")),"")</f>
        <v>0</v>
      </c>
      <c r="O3" s="8">
        <f ca="1">IF($J3=$J5,(COUNTIF($G:$G,CONCATENATE($I3,$I5,$I3))+COUNTIF($G:$G,CONCATENATE($I5,$I3,$I3)))*3+COUNTIF($G:$G,CONCATENATE($I3,$I5,"D"))+COUNTIF($G:$G,CONCATENATE($I5,$I3,"D")),"")</f>
        <v>0</v>
      </c>
      <c r="P3" s="8">
        <f ca="1">IF($J3=$J6,(COUNTIF($G:$G,CONCATENATE($I3,$I6,$I3))+COUNTIF($G:$G,CONCATENATE($I6,$I3,$I3)))*3+COUNTIF($G:$G,CONCATENATE($I3,$I6,"D"))+COUNTIF($G:$G,CONCATENATE($I6,$I3,"D")),"")</f>
        <v>0</v>
      </c>
      <c r="Q3" s="8">
        <f ca="1">IF($J3=$J7,(COUNTIF($G:$G,CONCATENATE($I3,$I7,$I3))+COUNTIF($G:$G,CONCATENATE($I7,$I3,$I3)))*3+COUNTIF($G:$G,CONCATENATE($I3,$I7,"D"))+COUNTIF($G:$G,CONCATENATE($I7,$I3,"D")),"")</f>
        <v>0</v>
      </c>
      <c r="R3" s="8">
        <f t="shared" ca="1" si="0"/>
        <v>0</v>
      </c>
    </row>
    <row r="4" spans="1:22" x14ac:dyDescent="0.25">
      <c r="A4" s="1" t="str">
        <f ca="1">'Grupa A'!M9</f>
        <v/>
      </c>
      <c r="B4" s="2" t="str">
        <f t="shared" si="1"/>
        <v/>
      </c>
      <c r="C4" s="1" t="str">
        <f>IF('Grupa A'!N9="","",'Grupa A'!N9)</f>
        <v/>
      </c>
      <c r="D4" s="19" t="str">
        <f>IF('Grupa A'!O9="","",'Grupa A'!O9)</f>
        <v/>
      </c>
      <c r="E4" s="8" t="str">
        <f t="shared" si="2"/>
        <v/>
      </c>
      <c r="F4" s="19" t="str">
        <f ca="1">'Grupa A'!P9</f>
        <v/>
      </c>
      <c r="G4" t="str">
        <f t="shared" ca="1" si="3"/>
        <v/>
      </c>
      <c r="I4" s="1" t="str">
        <f>'Rangiranje A'!A5</f>
        <v>0 ()</v>
      </c>
      <c r="J4" s="8">
        <f ca="1">'Rangiranje A'!J5</f>
        <v>0</v>
      </c>
      <c r="K4" s="8">
        <f t="shared" ca="1" si="4"/>
        <v>6</v>
      </c>
      <c r="L4" s="8">
        <f ca="1">IF($J4=$J2,(COUNTIF($G:$G,CONCATENATE($I4,$I2,$I4))+COUNTIF($G:$G,CONCATENATE($I2,$I4,$I4)))*3+COUNTIF($G:$G,CONCATENATE($I4,$I2,"D"))+COUNTIF($G:$G,CONCATENATE($I2,$I4,"D")),"")</f>
        <v>0</v>
      </c>
      <c r="M4" s="8">
        <f ca="1">IF($J4=$J3,(COUNTIF($G:$G,CONCATENATE($I4,$I3,$I4))+COUNTIF($G:$G,CONCATENATE($I3,$I4,$I4)))*3+COUNTIF($G:$G,CONCATENATE($I4,$I3,"D"))+COUNTIF($G:$G,CONCATENATE($I3,$I4,"D")),"")</f>
        <v>0</v>
      </c>
      <c r="N4" s="23"/>
      <c r="O4" s="8">
        <f ca="1">IF($J4=$J5,(COUNTIF($G:$G,CONCATENATE($I4,$I5,$I4))+COUNTIF($G:$G,CONCATENATE($I5,$I4,$I4)))*3+COUNTIF($G:$G,CONCATENATE($I4,$I5,"D"))+COUNTIF($G:$G,CONCATENATE($I5,$I4,"D")),"")</f>
        <v>0</v>
      </c>
      <c r="P4" s="8">
        <f ca="1">IF($J4=$J6,(COUNTIF($G:$G,CONCATENATE($I4,$I6,$I4))+COUNTIF($G:$G,CONCATENATE($I6,$I4,$I4)))*3+COUNTIF($G:$G,CONCATENATE($I4,$I6,"D"))+COUNTIF($G:$G,CONCATENATE($I6,$I4,"D")),"")</f>
        <v>0</v>
      </c>
      <c r="Q4" s="8">
        <f ca="1">IF($J4=$J7,(COUNTIF($G:$G,CONCATENATE($I4,$I7,$I4))+COUNTIF($G:$G,CONCATENATE($I7,$I4,$I4)))*3+COUNTIF($G:$G,CONCATENATE($I4,$I7,"D"))+COUNTIF($G:$G,CONCATENATE($I7,$I4,"D")),"")</f>
        <v>0</v>
      </c>
      <c r="R4" s="8">
        <f t="shared" ca="1" si="0"/>
        <v>0</v>
      </c>
    </row>
    <row r="5" spans="1:22" x14ac:dyDescent="0.25">
      <c r="A5" s="1" t="str">
        <f ca="1">'Grupa A'!M10</f>
        <v/>
      </c>
      <c r="B5" s="2" t="str">
        <f t="shared" si="1"/>
        <v/>
      </c>
      <c r="C5" s="1" t="str">
        <f>IF('Grupa A'!N10="","",'Grupa A'!N10)</f>
        <v/>
      </c>
      <c r="D5" s="19" t="str">
        <f>IF('Grupa A'!O10="","",'Grupa A'!O10)</f>
        <v/>
      </c>
      <c r="E5" s="8" t="str">
        <f t="shared" si="2"/>
        <v/>
      </c>
      <c r="F5" s="19" t="str">
        <f ca="1">'Grupa A'!P10</f>
        <v/>
      </c>
      <c r="G5" t="str">
        <f t="shared" ca="1" si="3"/>
        <v/>
      </c>
      <c r="I5" s="1" t="str">
        <f>'Rangiranje A'!A6</f>
        <v>0 ()</v>
      </c>
      <c r="J5" s="8">
        <f ca="1">'Rangiranje A'!J6</f>
        <v>0</v>
      </c>
      <c r="K5" s="8">
        <f t="shared" ca="1" si="4"/>
        <v>6</v>
      </c>
      <c r="L5" s="8">
        <f ca="1">IF($J5=$J2,(COUNTIF($G:$G,CONCATENATE($I5,$I2,$I5))+COUNTIF($G:$G,CONCATENATE($I2,$I5,$I5)))*3+COUNTIF($G:$G,CONCATENATE($I5,$I2,"D"))+COUNTIF($G:$G,CONCATENATE($I2,$I5,"D")),"")</f>
        <v>0</v>
      </c>
      <c r="M5" s="8">
        <f ca="1">IF($J5=$J3,(COUNTIF($G:$G,CONCATENATE($I5,$I3,$I5))+COUNTIF($G:$G,CONCATENATE($I3,$I5,$I5)))*3+COUNTIF($G:$G,CONCATENATE($I5,$I3,"D"))+COUNTIF($G:$G,CONCATENATE($I3,$I5,"D")),"")</f>
        <v>0</v>
      </c>
      <c r="N5" s="8">
        <f ca="1">IF($J5=$J4,(COUNTIF($G:$G,CONCATENATE($I5,$I4,$I5))+COUNTIF($G:$G,CONCATENATE($I4,$I5,$I5)))*3+COUNTIF($G:$G,CONCATENATE($I5,$I4,"D"))+COUNTIF($G:$G,CONCATENATE($I4,$I5,"D")),"")</f>
        <v>0</v>
      </c>
      <c r="O5" s="23"/>
      <c r="P5" s="8">
        <f ca="1">IF($J5=$J6,(COUNTIF($G:$G,CONCATENATE($I5,$I6,$I5))+COUNTIF($G:$G,CONCATENATE($I6,$I5,$I5)))*3+COUNTIF($G:$G,CONCATENATE($I5,$I6,"D"))+COUNTIF($G:$G,CONCATENATE($I6,$I5,"D")),"")</f>
        <v>0</v>
      </c>
      <c r="Q5" s="8">
        <f ca="1">IF($J5=$J7,(COUNTIF($G:$G,CONCATENATE($I5,$I7,$I5))+COUNTIF($G:$G,CONCATENATE($I7,$I5,$I5)))*3+COUNTIF($G:$G,CONCATENATE($I5,$I7,"D"))+COUNTIF($G:$G,CONCATENATE($I7,$I5,"D")),"")</f>
        <v>0</v>
      </c>
      <c r="R5" s="8">
        <f t="shared" ca="1" si="0"/>
        <v>0</v>
      </c>
    </row>
    <row r="6" spans="1:22" x14ac:dyDescent="0.25">
      <c r="A6" s="1" t="str">
        <f ca="1">'Grupa A'!M11</f>
        <v/>
      </c>
      <c r="B6" s="2" t="str">
        <f t="shared" si="1"/>
        <v/>
      </c>
      <c r="C6" s="1" t="str">
        <f>IF('Grupa A'!N11="","",'Grupa A'!N11)</f>
        <v/>
      </c>
      <c r="D6" s="19" t="str">
        <f>IF('Grupa A'!O11="","",'Grupa A'!O11)</f>
        <v/>
      </c>
      <c r="E6" s="8" t="str">
        <f t="shared" si="2"/>
        <v/>
      </c>
      <c r="F6" s="19" t="str">
        <f ca="1">'Grupa A'!P11</f>
        <v/>
      </c>
      <c r="G6" t="str">
        <f t="shared" ca="1" si="3"/>
        <v/>
      </c>
      <c r="I6" s="1" t="str">
        <f>'Rangiranje A'!A7</f>
        <v>0 ()</v>
      </c>
      <c r="J6" s="8">
        <f ca="1">'Rangiranje A'!J7</f>
        <v>0</v>
      </c>
      <c r="K6" s="8">
        <f t="shared" ca="1" si="4"/>
        <v>6</v>
      </c>
      <c r="L6" s="8">
        <f ca="1">IF($J6=$J2,(COUNTIF($G:$G,CONCATENATE($I6,$I2,$I6))+COUNTIF($G:$G,CONCATENATE($I2,$I6,$I6)))*3+COUNTIF($G:$G,CONCATENATE($I6,$I2,"D"))+COUNTIF($G:$G,CONCATENATE($I2,$I6,"D")),"")</f>
        <v>0</v>
      </c>
      <c r="M6" s="8">
        <f ca="1">IF($J6=$J3,(COUNTIF($G:$G,CONCATENATE($I6,$I3,$I6))+COUNTIF($G:$G,CONCATENATE($I3,$I6,$I6)))*3+COUNTIF($G:$G,CONCATENATE($I6,$I3,"D"))+COUNTIF($G:$G,CONCATENATE($I3,$I6,"D")),"")</f>
        <v>0</v>
      </c>
      <c r="N6" s="8">
        <f ca="1">IF($J6=$J4,(COUNTIF($G:$G,CONCATENATE($I6,$I4,$I6))+COUNTIF($G:$G,CONCATENATE($I4,$I6,$I6)))*3+COUNTIF($G:$G,CONCATENATE($I6,$I4,"D"))+COUNTIF($G:$G,CONCATENATE($I4,$I6,"D")),"")</f>
        <v>0</v>
      </c>
      <c r="O6" s="8">
        <f ca="1">IF($J6=$J5,(COUNTIF($G:$G,CONCATENATE($I6,$I5,$I6))+COUNTIF($G:$G,CONCATENATE($I5,$I6,$I6)))*3+COUNTIF($G:$G,CONCATENATE($I6,$I5,"D"))+COUNTIF($G:$G,CONCATENATE($I5,$I6,"D")),"")</f>
        <v>0</v>
      </c>
      <c r="P6" s="23"/>
      <c r="Q6" s="8">
        <f ca="1">IF($J6=$J7,(COUNTIF($G:$G,CONCATENATE($I6,$I7,$I6))+COUNTIF($G:$G,CONCATENATE($I7,$I6,$I6)))*3+COUNTIF($G:$G,CONCATENATE($I6,$I7,"D"))+COUNTIF($G:$G,CONCATENATE($I7,$I6,"D")),"")</f>
        <v>0</v>
      </c>
      <c r="R6" s="8">
        <f t="shared" ca="1" si="0"/>
        <v>0</v>
      </c>
    </row>
    <row r="7" spans="1:22" x14ac:dyDescent="0.25">
      <c r="A7" s="1" t="str">
        <f ca="1">'Grupa A'!M12</f>
        <v/>
      </c>
      <c r="B7" s="2" t="str">
        <f t="shared" si="1"/>
        <v/>
      </c>
      <c r="C7" s="1" t="str">
        <f>IF('Grupa A'!N12="","",'Grupa A'!N12)</f>
        <v/>
      </c>
      <c r="D7" s="19" t="str">
        <f>IF('Grupa A'!O12="","",'Grupa A'!O12)</f>
        <v/>
      </c>
      <c r="E7" s="8" t="str">
        <f t="shared" si="2"/>
        <v/>
      </c>
      <c r="F7" s="19" t="str">
        <f ca="1">'Grupa A'!P12</f>
        <v/>
      </c>
      <c r="G7" t="str">
        <f t="shared" ca="1" si="3"/>
        <v/>
      </c>
      <c r="I7" s="1" t="str">
        <f>'Rangiranje A'!A8</f>
        <v>0 ()</v>
      </c>
      <c r="J7" s="8">
        <f ca="1">'Rangiranje A'!J8</f>
        <v>0</v>
      </c>
      <c r="K7" s="8">
        <f t="shared" ca="1" si="4"/>
        <v>6</v>
      </c>
      <c r="L7" s="8">
        <f ca="1">IF($J7=$J2,(COUNTIF($G:$G,CONCATENATE($I7,$I2,$I7))+COUNTIF($G:$G,CONCATENATE($I2,$I7,$I7)))*3+COUNTIF($G:$G,CONCATENATE($I7,$I2,"D"))+COUNTIF($G:$G,CONCATENATE($I2,$I7,"D")),"")</f>
        <v>0</v>
      </c>
      <c r="M7" s="8">
        <f ca="1">IF($J7=$J3,(COUNTIF($G:$G,CONCATENATE($I7,$I3,$I7))+COUNTIF($G:$G,CONCATENATE($I3,$I7,$I7)))*3+COUNTIF($G:$G,CONCATENATE($I7,$I3,"D"))+COUNTIF($G:$G,CONCATENATE($I3,$I7,"D")),"")</f>
        <v>0</v>
      </c>
      <c r="N7" s="8">
        <f ca="1">IF($J7=$J4,(COUNTIF($G:$G,CONCATENATE($I7,$I4,$I7))+COUNTIF($G:$G,CONCATENATE($I4,$I7,$I7)))*3+COUNTIF($G:$G,CONCATENATE($I7,$I4,"D"))+COUNTIF($G:$G,CONCATENATE($I4,$I7,"D")),"")</f>
        <v>0</v>
      </c>
      <c r="O7" s="8">
        <f ca="1">IF($J7=$J5,(COUNTIF($G:$G,CONCATENATE($I7,$I5,$I7))+COUNTIF($G:$G,CONCATENATE($I5,$I7,$I7)))*3+COUNTIF($G:$G,CONCATENATE($I7,$I5,"D"))+COUNTIF($G:$G,CONCATENATE($I5,$I7,"D")),"")</f>
        <v>0</v>
      </c>
      <c r="P7" s="8">
        <f ca="1">IF($J7=$J6,(COUNTIF($G:$G,CONCATENATE($I7,$I6,$I7))+COUNTIF($G:$G,CONCATENATE($I6,$I7,$I7)))*3+COUNTIF($G:$G,CONCATENATE($I7,$I6,"D"))+COUNTIF($G:$G,CONCATENATE($I6,$I7,"D")),"")</f>
        <v>0</v>
      </c>
      <c r="Q7" s="23"/>
      <c r="R7" s="8">
        <f t="shared" ca="1" si="0"/>
        <v>0</v>
      </c>
    </row>
    <row r="8" spans="1:22" x14ac:dyDescent="0.25">
      <c r="A8" s="1" t="str">
        <f ca="1">'Grupa A'!M13</f>
        <v/>
      </c>
      <c r="B8" s="2" t="str">
        <f t="shared" si="1"/>
        <v/>
      </c>
      <c r="C8" s="1" t="str">
        <f>IF('Grupa A'!N13="","",'Grupa A'!N13)</f>
        <v/>
      </c>
      <c r="D8" s="19" t="str">
        <f>IF('Grupa A'!O13="","",'Grupa A'!O13)</f>
        <v/>
      </c>
      <c r="E8" s="8" t="str">
        <f t="shared" si="2"/>
        <v/>
      </c>
      <c r="F8" s="19" t="str">
        <f ca="1">'Grupa A'!P13</f>
        <v/>
      </c>
      <c r="G8" t="str">
        <f t="shared" ca="1" si="3"/>
        <v/>
      </c>
    </row>
    <row r="9" spans="1:22" x14ac:dyDescent="0.25">
      <c r="A9" s="1" t="str">
        <f ca="1">'Grupa A'!M14</f>
        <v/>
      </c>
      <c r="B9" s="2" t="str">
        <f t="shared" si="1"/>
        <v/>
      </c>
      <c r="C9" s="1" t="str">
        <f>IF('Grupa A'!N14="","",'Grupa A'!N14)</f>
        <v/>
      </c>
      <c r="D9" s="19" t="str">
        <f>IF('Grupa A'!O14="","",'Grupa A'!O14)</f>
        <v/>
      </c>
      <c r="E9" s="8" t="str">
        <f t="shared" si="2"/>
        <v/>
      </c>
      <c r="F9" s="19" t="str">
        <f ca="1">'Grupa A'!P14</f>
        <v/>
      </c>
      <c r="G9" t="str">
        <f t="shared" ca="1" si="3"/>
        <v/>
      </c>
    </row>
    <row r="10" spans="1:22" x14ac:dyDescent="0.25">
      <c r="A10" s="1" t="str">
        <f ca="1">'Grupa A'!M15</f>
        <v/>
      </c>
      <c r="B10" s="2" t="str">
        <f t="shared" si="1"/>
        <v/>
      </c>
      <c r="C10" s="1" t="str">
        <f>IF('Grupa A'!N15="","",'Grupa A'!N15)</f>
        <v/>
      </c>
      <c r="D10" s="19" t="str">
        <f>IF('Grupa A'!O15="","",'Grupa A'!O15)</f>
        <v/>
      </c>
      <c r="E10" s="8" t="str">
        <f t="shared" si="2"/>
        <v/>
      </c>
      <c r="F10" s="19" t="str">
        <f ca="1">'Grupa A'!P15</f>
        <v/>
      </c>
      <c r="G10" t="str">
        <f t="shared" ca="1" si="3"/>
        <v/>
      </c>
    </row>
    <row r="11" spans="1:22" x14ac:dyDescent="0.25">
      <c r="A11" s="1" t="str">
        <f ca="1">'Grupa A'!M16</f>
        <v/>
      </c>
      <c r="B11" s="2" t="str">
        <f t="shared" si="1"/>
        <v/>
      </c>
      <c r="C11" s="1" t="str">
        <f>IF('Grupa A'!N16="","",'Grupa A'!N16)</f>
        <v/>
      </c>
      <c r="D11" s="19" t="str">
        <f>IF('Grupa A'!O16="","",'Grupa A'!O16)</f>
        <v/>
      </c>
      <c r="E11" s="8" t="str">
        <f t="shared" si="2"/>
        <v/>
      </c>
      <c r="F11" s="19" t="str">
        <f ca="1">'Grupa A'!P16</f>
        <v/>
      </c>
      <c r="G11" t="str">
        <f t="shared" ca="1" si="3"/>
        <v/>
      </c>
    </row>
    <row r="12" spans="1:22" x14ac:dyDescent="0.25">
      <c r="A12" s="1" t="str">
        <f ca="1">'Grupa A'!M17</f>
        <v/>
      </c>
      <c r="B12" s="2" t="str">
        <f t="shared" si="1"/>
        <v/>
      </c>
      <c r="C12" s="1" t="str">
        <f>IF('Grupa A'!N17="","",'Grupa A'!N17)</f>
        <v/>
      </c>
      <c r="D12" s="19" t="str">
        <f>IF('Grupa A'!O17="","",'Grupa A'!O17)</f>
        <v/>
      </c>
      <c r="E12" s="8" t="str">
        <f t="shared" si="2"/>
        <v/>
      </c>
      <c r="F12" s="19" t="str">
        <f ca="1">'Grupa A'!P17</f>
        <v/>
      </c>
      <c r="G12" t="str">
        <f t="shared" ca="1" si="3"/>
        <v/>
      </c>
    </row>
    <row r="13" spans="1:22" x14ac:dyDescent="0.25">
      <c r="A13" s="1" t="str">
        <f ca="1">'Grupa A'!M18</f>
        <v/>
      </c>
      <c r="B13" s="2" t="str">
        <f t="shared" si="1"/>
        <v/>
      </c>
      <c r="C13" s="1" t="str">
        <f>IF('Grupa A'!N18="","",'Grupa A'!N18)</f>
        <v/>
      </c>
      <c r="D13" s="19" t="str">
        <f>IF('Grupa A'!O18="","",'Grupa A'!O18)</f>
        <v/>
      </c>
      <c r="E13" s="8" t="str">
        <f t="shared" si="2"/>
        <v/>
      </c>
      <c r="F13" s="19" t="str">
        <f ca="1">'Grupa A'!P18</f>
        <v/>
      </c>
      <c r="G13" t="str">
        <f t="shared" ca="1" si="3"/>
        <v/>
      </c>
    </row>
    <row r="14" spans="1:22" x14ac:dyDescent="0.25">
      <c r="A14" s="1" t="str">
        <f ca="1">'Grupa A'!M19</f>
        <v/>
      </c>
      <c r="B14" s="2" t="str">
        <f t="shared" si="1"/>
        <v/>
      </c>
      <c r="C14" s="1" t="str">
        <f>IF('Grupa A'!N19="","",'Grupa A'!N19)</f>
        <v/>
      </c>
      <c r="D14" s="19" t="str">
        <f>IF('Grupa A'!O19="","",'Grupa A'!O19)</f>
        <v/>
      </c>
      <c r="E14" s="8" t="str">
        <f t="shared" si="2"/>
        <v/>
      </c>
      <c r="F14" s="19" t="str">
        <f ca="1">'Grupa A'!P19</f>
        <v/>
      </c>
      <c r="G14" t="str">
        <f t="shared" ca="1" si="3"/>
        <v/>
      </c>
    </row>
    <row r="15" spans="1:22" x14ac:dyDescent="0.25">
      <c r="A15" s="1" t="str">
        <f ca="1">'Grupa A'!M20</f>
        <v/>
      </c>
      <c r="B15" s="2" t="str">
        <f t="shared" si="1"/>
        <v/>
      </c>
      <c r="C15" s="1" t="str">
        <f>IF('Grupa A'!N20="","",'Grupa A'!N20)</f>
        <v/>
      </c>
      <c r="D15" s="19" t="str">
        <f>IF('Grupa A'!O20="","",'Grupa A'!O20)</f>
        <v/>
      </c>
      <c r="E15" s="8" t="str">
        <f t="shared" si="2"/>
        <v/>
      </c>
      <c r="F15" s="19" t="str">
        <f ca="1">'Grupa A'!P20</f>
        <v/>
      </c>
      <c r="G15" t="str">
        <f t="shared" ca="1" si="3"/>
        <v/>
      </c>
    </row>
    <row r="16" spans="1:22" x14ac:dyDescent="0.25">
      <c r="A16" s="1" t="str">
        <f ca="1">'Grupa A'!M21</f>
        <v/>
      </c>
      <c r="B16" s="2" t="str">
        <f t="shared" si="1"/>
        <v/>
      </c>
      <c r="C16" s="1" t="str">
        <f>IF('Grupa A'!N21="","",'Grupa A'!N21)</f>
        <v/>
      </c>
      <c r="D16" s="19" t="str">
        <f>IF('Grupa A'!O21="","",'Grupa A'!O21)</f>
        <v/>
      </c>
      <c r="E16" s="8" t="str">
        <f t="shared" si="2"/>
        <v/>
      </c>
      <c r="F16" s="19" t="str">
        <f ca="1">'Grupa A'!P21</f>
        <v/>
      </c>
      <c r="G16" t="str">
        <f t="shared" ca="1" si="3"/>
        <v/>
      </c>
    </row>
  </sheetData>
  <mergeCells count="1">
    <mergeCell ref="C1:D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99"/>
  <sheetViews>
    <sheetView workbookViewId="0">
      <selection activeCell="B3" sqref="B3"/>
    </sheetView>
  </sheetViews>
  <sheetFormatPr defaultRowHeight="15" x14ac:dyDescent="0.25"/>
  <cols>
    <col min="2" max="3" width="25.140625" bestFit="1" customWidth="1"/>
    <col min="5" max="5" width="25.140625" bestFit="1" customWidth="1"/>
    <col min="6" max="6" width="19.5703125" bestFit="1" customWidth="1"/>
    <col min="8" max="9" width="15.28515625" bestFit="1" customWidth="1"/>
    <col min="11" max="11" width="13.42578125" bestFit="1" customWidth="1"/>
    <col min="12" max="12" width="14.140625" bestFit="1" customWidth="1"/>
    <col min="14" max="14" width="14.140625" bestFit="1" customWidth="1"/>
    <col min="15" max="15" width="12.28515625" bestFit="1" customWidth="1"/>
  </cols>
  <sheetData>
    <row r="1" spans="1:27" ht="15.75" thickBot="1" x14ac:dyDescent="0.3">
      <c r="A1" s="25" t="str">
        <f>Informacije!D11</f>
        <v/>
      </c>
      <c r="D1" s="29" t="e">
        <f>A1-1</f>
        <v>#VALUE!</v>
      </c>
      <c r="G1" s="25" t="e">
        <f>D1-1</f>
        <v>#VALUE!</v>
      </c>
      <c r="J1" s="29" t="e">
        <f>G1-1</f>
        <v>#VALUE!</v>
      </c>
      <c r="M1" s="25" t="e">
        <f>J1-1</f>
        <v>#VALUE!</v>
      </c>
      <c r="P1" s="43" t="e">
        <f>M1-1</f>
        <v>#VALUE!</v>
      </c>
      <c r="Q1" s="39"/>
      <c r="R1" s="39"/>
      <c r="S1" s="43" t="e">
        <f>P1-1</f>
        <v>#VALUE!</v>
      </c>
      <c r="T1" s="39"/>
      <c r="U1" s="39"/>
      <c r="V1" s="46"/>
      <c r="W1" s="46"/>
      <c r="X1" s="46"/>
      <c r="Y1" s="46"/>
      <c r="Z1" s="46"/>
      <c r="AA1" s="46"/>
    </row>
    <row r="2" spans="1:27" x14ac:dyDescent="0.25">
      <c r="A2" s="26">
        <v>1</v>
      </c>
      <c r="B2" s="37" t="str">
        <f>Timovi!B4 &amp; " " &amp; "("&amp;Timovi!C4&amp;")"</f>
        <v xml:space="preserve"> ()</v>
      </c>
      <c r="C2" s="37" t="str">
        <f>Timovi!B5 &amp; " " &amp; "("&amp;Timovi!C5&amp;")"</f>
        <v xml:space="preserve"> ()</v>
      </c>
      <c r="D2" s="29" t="e">
        <f>IF(E2&lt;&gt;"",IF(ISODD($A$1),IF(A2&lt;&gt;$A$1,A2+2,2),IF(A2&lt;&gt;$A$1-1,IF(E3="",IF(A3=$A$1-1,IF(A3=$A$1-2,1,2),A3+2),A2+2),IF(A2&lt;&gt;$A$1-2,2,1))),"")</f>
        <v>#VALUE!</v>
      </c>
      <c r="E2" s="48" t="e">
        <f>IF(AND(C2&lt;&gt;"",D1&lt;&gt;1),C2,"")</f>
        <v>#VALUE!</v>
      </c>
      <c r="F2" s="38" t="e">
        <f>IF(E2&lt;&gt;"",B3,"")</f>
        <v>#VALUE!</v>
      </c>
      <c r="G2" s="29" t="e">
        <f>IF(H2&lt;&gt;"",IF(ISODD($A$1),IF(D2&lt;&gt;$A$1,D2+2,2),IF(D2&lt;&gt;$A$1-1,IF(H3="",IF(D3=$A$1-1,IF(D3=$A$1-2,1,2),D3+2),D2+2),IF(D2&lt;&gt;$A$1-2,2,1))),"")</f>
        <v>#VALUE!</v>
      </c>
      <c r="H2" s="38" t="e">
        <f>IF(AND(F2&lt;&gt;"",G1&lt;&gt;1),F2,"")</f>
        <v>#VALUE!</v>
      </c>
      <c r="I2" s="38" t="e">
        <f>IF(H2&lt;&gt;"",E3,"")</f>
        <v>#VALUE!</v>
      </c>
      <c r="J2" s="34" t="e">
        <f>IF(K2&lt;&gt;"",IF(ISODD($A$1),IF(G2&lt;&gt;$A$1,G2+2,2),IF(G2&lt;&gt;$A$1-1,IF(K3="",IF(G3=$A$1-1,IF(G3=$A$1-2,1,2),G3+2),G2+2),IF(G2&lt;&gt;$A$1-2,2,1))),"")</f>
        <v>#VALUE!</v>
      </c>
      <c r="K2" s="38" t="e">
        <f>IF(AND(I2&lt;&gt;"",J1&lt;&gt;1),I2,"")</f>
        <v>#VALUE!</v>
      </c>
      <c r="L2" s="38" t="e">
        <f>IF(K2&lt;&gt;"",H3,"")</f>
        <v>#VALUE!</v>
      </c>
      <c r="M2" s="29" t="e">
        <f>IF(N2&lt;&gt;"",IF(ISODD($A$1),IF(J2&lt;&gt;$A$1,J2+2,2),IF(J2&lt;&gt;$A$1-1,IF(N3="",IF(J3=$A$1-1,IF(J3=$A$1-2,1,2),J3+2),J2+2),IF(J2&lt;&gt;$A$1-2,2,1))),"")</f>
        <v>#VALUE!</v>
      </c>
      <c r="N2" s="38" t="e">
        <f>IF(AND(L2&lt;&gt;"",M1&lt;&gt;1),L2,"")</f>
        <v>#VALUE!</v>
      </c>
      <c r="O2" s="38" t="e">
        <f>IF(N2&lt;&gt;"",K3,"")</f>
        <v>#VALUE!</v>
      </c>
      <c r="P2" s="29" t="b">
        <f>IF(AND(Informacije!$D$13="DA",Informacije!$D$7=6),IF(Q2&lt;&gt;"",IF(ISODD($A$1),IF(A2&lt;&gt;$A$1,A2+3,2),IF(A2&lt;&gt;$A$1-1,IF(E3="",IF(A3=$A$1-1,IF(A3=$A$1-2,1,2),A3+2),A2+2),IF(A2&lt;&gt;$A$1-2,2,1))),""))</f>
        <v>0</v>
      </c>
      <c r="Q2" s="40" t="e">
        <f>IF(AND(C2&lt;&gt;"",P1&lt;&gt;1),C2,"")</f>
        <v>#VALUE!</v>
      </c>
      <c r="R2" s="40" t="e">
        <f>IF(Q2&lt;&gt;"",B2,"")</f>
        <v>#VALUE!</v>
      </c>
      <c r="S2" s="29" t="b">
        <f>IF(AND(Informacije!$D$13="DA",Informacije!$D$7=6),IF(T2&lt;&gt;"",IF(ISODD($A$1),IF(P2&lt;&gt;$A$1,P2+2,2),IF(P2&lt;&gt;$A$1-1,IF(T3="",IF(P3=$A$1-1,IF(P3=$A$1-2,1,2),P3+2),P2+2),IF(P2&lt;&gt;$A$1-2,2,1))),""))</f>
        <v>0</v>
      </c>
      <c r="T2" t="e">
        <f>IF(AND(R2&lt;&gt;"",S1&lt;&gt;1),F2,"")</f>
        <v>#VALUE!</v>
      </c>
      <c r="U2" t="e">
        <f>IF(T2&lt;&gt;"",E2,"")</f>
        <v>#VALUE!</v>
      </c>
      <c r="V2" s="46"/>
      <c r="W2" s="46"/>
      <c r="X2" s="46"/>
      <c r="Y2" s="46"/>
      <c r="Z2" s="46"/>
      <c r="AA2" s="46"/>
    </row>
    <row r="3" spans="1:27" x14ac:dyDescent="0.25">
      <c r="A3" s="27" t="e">
        <f>IF(A2=$A$1-1,A2,A2+1)</f>
        <v>#VALUE!</v>
      </c>
      <c r="B3" s="37" t="e">
        <f>IF($A3=$A2,"",Timovi!B6 &amp; " " &amp; "("&amp;Timovi!C6&amp;")")</f>
        <v>#VALUE!</v>
      </c>
      <c r="C3" s="37" t="e">
        <f>IF($A3=$A2,"",B2)</f>
        <v>#VALUE!</v>
      </c>
      <c r="D3" s="30" t="e">
        <f>IF(E3&lt;&gt;"",IF(ISODD($A$1),IF(D2&lt;&gt;$A$1,D2+1,1),IF(ROW()=D$1,IF(A$6=$A$1-1,2,IF(A$6=$A$1-2,1,A$6+2)),IF(D2=$A$1-1,1,D2+1))),D2)</f>
        <v>#VALUE!</v>
      </c>
      <c r="E3" s="37" t="e">
        <f>IF(E2&lt;&gt;"",C4,"")</f>
        <v>#VALUE!</v>
      </c>
      <c r="F3" s="38" t="e">
        <f>IF($A3=D$1,"",E2)</f>
        <v>#VALUE!</v>
      </c>
      <c r="G3" s="30" t="e">
        <f>IF(H3&lt;&gt;"",IF(ISODD($A$1),IF(G2&lt;&gt;$A$1,G2+1,1),IF(ROW()=G$1,IF(D$6=$A$1-1,2,IF(D$6=$A$1-2,1,D$6+2)),IF(G2=$A$1-1,1,G2+1))),G2)</f>
        <v>#VALUE!</v>
      </c>
      <c r="H3" s="37" t="e">
        <f>IF(I3&lt;&gt;"",F4,"")</f>
        <v>#VALUE!</v>
      </c>
      <c r="I3" s="38" t="e">
        <f>IF($A3=G$1,"",H2)</f>
        <v>#VALUE!</v>
      </c>
      <c r="J3" s="35" t="e">
        <f>IF(K3&lt;&gt;"",IF(ISODD($A$1),IF(J2&lt;&gt;$A$1,J2+1,1),IF(ROW()=J$1,IF(G$6=$A$1-1,2,IF(G$6=$A$1-2,1,G$6+2)),IF(J2=$A$1-1,1,J2+1))),J2)</f>
        <v>#VALUE!</v>
      </c>
      <c r="K3" s="37" t="e">
        <f>IF(L3&lt;&gt;"",I4,"")</f>
        <v>#VALUE!</v>
      </c>
      <c r="L3" s="38" t="e">
        <f>IF($A3=J$1,"",K2)</f>
        <v>#VALUE!</v>
      </c>
      <c r="M3" s="30" t="e">
        <f>IF(N3&lt;&gt;"",IF(ISODD($A$1),IF(M2&lt;&gt;$A$1,M2+1,1),IF(ROW()=M$1,IF(J$6=$A$1-1,2,IF(J$6=$A$1-2,1,J$6+2)),IF(M2=$A$1-1,1,M2+1))),M2)</f>
        <v>#VALUE!</v>
      </c>
      <c r="N3" s="37" t="e">
        <f>IF($A3=M$1,"",N2)</f>
        <v>#VALUE!</v>
      </c>
      <c r="O3" s="38" t="e">
        <f t="shared" ref="O3:O6" si="0">IF(N3&lt;&gt;"",L4,"")</f>
        <v>#VALUE!</v>
      </c>
      <c r="P3" s="30" t="b">
        <f>IF(AND(Informacije!$D$13="DA",Informacije!$D$7=6),IF(Q3&lt;&gt;"",IF(ISODD($A$1),IF(A3&lt;&gt;$A$1,A3+3,2),IF(A3&lt;&gt;$A$1-1,IF(E4="",IF(A4=$A$1-1,IF(A4=$A$1-2,1,2),A4+2),A3+2),IF(A3&lt;&gt;$A$1-2,2,1))),""))</f>
        <v>0</v>
      </c>
      <c r="Q3" s="41" t="e">
        <f>IF($A3=P$1,"",R2)</f>
        <v>#VALUE!</v>
      </c>
      <c r="R3" s="41" t="e">
        <f>IF(R2&lt;&gt;"",B3,"")</f>
        <v>#VALUE!</v>
      </c>
      <c r="S3" s="30" t="b">
        <f>IF(AND(Informacije!$D$13="DA",Informacije!$D$7=6),IF(T3&lt;&gt;"",IF(ISODD($A$1),IF(P3&lt;&gt;$A$1,P3+2,2),IF(P3&lt;&gt;$A$1-1,IF(T4="",IF(P4=$A$1-1,IF(P4=$A$1-2,1,2),P4+2),P3+2),IF(P3&lt;&gt;$A$1-2,2,1))),""))</f>
        <v>0</v>
      </c>
      <c r="V3" s="46"/>
      <c r="W3" s="46"/>
      <c r="X3" s="46"/>
      <c r="Y3" s="46"/>
      <c r="Z3" s="46"/>
      <c r="AA3" s="46"/>
    </row>
    <row r="4" spans="1:27" x14ac:dyDescent="0.25">
      <c r="A4" s="27" t="e">
        <f t="shared" ref="A4:A6" si="1">IF(A3=$A$1-1,A3,A3+1)</f>
        <v>#VALUE!</v>
      </c>
      <c r="B4" s="37" t="e">
        <f>IF($A4=$A3,"",C3)</f>
        <v>#VALUE!</v>
      </c>
      <c r="C4" s="37" t="e">
        <f>IF($A4=$A3,"",Timovi!B7&amp; " " &amp; "("&amp;Timovi!C7&amp;")")</f>
        <v>#VALUE!</v>
      </c>
      <c r="D4" s="30" t="e">
        <f t="shared" ref="D4" si="2">IF(E4&lt;&gt;"",IF(ISODD($A$1),IF(D3&lt;&gt;$A$1,D3+1,1),IF(ROW()=D$1,IF(A$6=$A$1-1,2,IF(A$6=$A$1-2,1,A$6+2)),IF(D3=$A$1-1,1,D3+1))),D3)</f>
        <v>#VALUE!</v>
      </c>
      <c r="E4" s="48" t="e">
        <f>IF($A4=D$1,"",F3)</f>
        <v>#VALUE!</v>
      </c>
      <c r="F4" s="38" t="e">
        <f>IF(E4&lt;&gt;"",B5,"")</f>
        <v>#VALUE!</v>
      </c>
      <c r="G4" s="30" t="e">
        <f t="shared" ref="G4:G6" si="3">IF(H4&lt;&gt;"",IF(ISODD($A$1),IF(G3&lt;&gt;$A$1,G3+1,1),IF(ROW()=G$1,IF(D$6=$A$1-1,2,IF(D$6=$A$1-2,1,D$6+2)),IF(G3=$A$1-1,1,G3+1))),G3)</f>
        <v>#VALUE!</v>
      </c>
      <c r="H4" s="37" t="e">
        <f>IF($A4=G$1,"",I3)</f>
        <v>#VALUE!</v>
      </c>
      <c r="I4" s="38" t="e">
        <f>IF(H4&lt;&gt;"",E5,"")</f>
        <v>#VALUE!</v>
      </c>
      <c r="J4" s="35" t="e">
        <f t="shared" ref="J4:J6" si="4">IF(K4&lt;&gt;"",IF(ISODD($A$1),IF(J3&lt;&gt;$A$1,J3+1,1),IF(ROW()=J$1,IF(G$6=$A$1-1,2,IF(G$6=$A$1-2,1,G$6+2)),IF(J3=$A$1-1,1,J3+1))),J3)</f>
        <v>#VALUE!</v>
      </c>
      <c r="K4" s="37" t="e">
        <f>IF($A4=J$1,"",L3)</f>
        <v>#VALUE!</v>
      </c>
      <c r="L4" s="38" t="e">
        <f>IF(K4&lt;&gt;"",H5,"")</f>
        <v>#VALUE!</v>
      </c>
      <c r="M4" s="30" t="e">
        <f t="shared" ref="M4:M6" si="5">IF(N4&lt;&gt;"",IF(ISODD($A$1),IF(M3&lt;&gt;$A$1,M3+1,1),IF(ROW()=M$1,IF(J$6=$A$1-1,2,IF(J$6=$A$1-2,1,J$6+2)),IF(M3=$A$1-1,1,M3+1))),M3)</f>
        <v>#VALUE!</v>
      </c>
      <c r="N4" s="37" t="e">
        <f t="shared" ref="N4:N6" si="6">IF($A4=M$1,"",N3)</f>
        <v>#VALUE!</v>
      </c>
      <c r="O4" s="38" t="e">
        <f t="shared" si="0"/>
        <v>#VALUE!</v>
      </c>
      <c r="P4" s="30" t="b">
        <f>IF(AND(Informacije!$D$13="DA",Informacije!$D$7=6),IF(Q4&lt;&gt;"",IF(ISODD($A$1),IF(A4&lt;&gt;$A$1,A4+3,2),IF(A4&lt;&gt;$A$1-1,IF(E5="",IF(A5=$A$1-1,IF(A5=$A$1-2,1,2),A5+2),A4+2),IF(A4&lt;&gt;$A$1-2,2,1))),""))</f>
        <v>0</v>
      </c>
      <c r="Q4" s="42"/>
      <c r="R4" s="40"/>
      <c r="S4" s="30" t="b">
        <f>IF(AND(Informacije!$D$13="DA",Informacije!$D$7=6),IF(T4&lt;&gt;"",IF(ISODD($A$1),IF(P4&lt;&gt;$A$1,P4+2,2),IF(P4&lt;&gt;$A$1-1,IF(T5="",IF(P5=$A$1-1,IF(P5=$A$1-2,1,2),P5+2),P4+2),IF(P4&lt;&gt;$A$1-2,2,1))),""))</f>
        <v>0</v>
      </c>
      <c r="V4" s="46"/>
      <c r="W4" s="46"/>
      <c r="X4" s="46"/>
      <c r="Y4" s="46"/>
      <c r="Z4" s="46"/>
      <c r="AA4" s="46"/>
    </row>
    <row r="5" spans="1:27" x14ac:dyDescent="0.25">
      <c r="A5" s="27" t="e">
        <f t="shared" si="1"/>
        <v>#VALUE!</v>
      </c>
      <c r="B5" s="37" t="e">
        <f>IF($A5=$A4,"",Timovi!B8 &amp; " " &amp; "("&amp;Timovi!C8&amp;")")</f>
        <v>#VALUE!</v>
      </c>
      <c r="C5" s="37" t="e">
        <f>IF($A5=$A4,"",B4)</f>
        <v>#VALUE!</v>
      </c>
      <c r="D5" s="30" t="e">
        <f>IF(E5&lt;&gt;"",IF(ISODD($A$1),IF(D4&lt;&gt;$A$1,D4+1,1),IF(ROW()=D$1,IF(A$6=$A$1-1,2,IF(A$6=$A$1-2,1,A$6+2)),IF(D4=$A$1-1,1,D4+1))),D4)</f>
        <v>#VALUE!</v>
      </c>
      <c r="E5" s="37" t="e">
        <f>IF(E2&lt;&gt;"",C6,"")</f>
        <v>#VALUE!</v>
      </c>
      <c r="F5" s="38" t="e">
        <f>IF($A5=D$1,"",E4)</f>
        <v>#VALUE!</v>
      </c>
      <c r="G5" s="30" t="e">
        <f t="shared" si="3"/>
        <v>#VALUE!</v>
      </c>
      <c r="H5" s="37" t="e">
        <f>IF(I5&lt;&gt;"",F6,"")</f>
        <v>#VALUE!</v>
      </c>
      <c r="I5" s="38" t="e">
        <f>IF($A5=G$1,"",H4)</f>
        <v>#VALUE!</v>
      </c>
      <c r="J5" s="35" t="e">
        <f t="shared" si="4"/>
        <v>#VALUE!</v>
      </c>
      <c r="K5" s="37" t="e">
        <f>IF(L5&lt;&gt;"",I6,"")</f>
        <v>#VALUE!</v>
      </c>
      <c r="L5" s="38" t="e">
        <f>IF($A3=J$1,"",K4)</f>
        <v>#VALUE!</v>
      </c>
      <c r="M5" s="30" t="e">
        <f t="shared" si="5"/>
        <v>#VALUE!</v>
      </c>
      <c r="N5" s="37" t="e">
        <f t="shared" si="6"/>
        <v>#VALUE!</v>
      </c>
      <c r="O5" s="38" t="e">
        <f t="shared" si="0"/>
        <v>#VALUE!</v>
      </c>
      <c r="P5" s="30" t="b">
        <f>IF(AND(Informacije!$D$13="DA",Informacije!$D$7=6),IF(Q5&lt;&gt;"",IF(ISODD($A$1),IF(A5&lt;&gt;$A$1,A5+3,2),IF(A5&lt;&gt;$A$1-1,IF(E6="",IF(A6=$A$1-1,IF(A6=$A$1-2,1,2),A6+2),A5+2),IF(A5&lt;&gt;$A$1-2,2,1))),""))</f>
        <v>0</v>
      </c>
      <c r="Q5" s="41"/>
      <c r="R5" s="41"/>
      <c r="S5" s="30" t="b">
        <f>IF(AND(Informacije!$D$13="DA",Informacije!$D$7=6),IF(T5&lt;&gt;"",IF(ISODD($A$1),IF(P5&lt;&gt;$A$1,P5+2,2),IF(P5&lt;&gt;$A$1-1,IF(T6="",IF(P6=$A$1-1,IF(P6=$A$1-2,1,2),P6+2),P5+2),IF(P5&lt;&gt;$A$1-2,2,1))),""))</f>
        <v>0</v>
      </c>
      <c r="V5" s="46"/>
      <c r="W5" s="46"/>
      <c r="X5" s="46"/>
      <c r="Y5" s="46"/>
      <c r="Z5" s="46"/>
      <c r="AA5" s="46"/>
    </row>
    <row r="6" spans="1:27" ht="15.75" thickBot="1" x14ac:dyDescent="0.3">
      <c r="A6" s="28" t="e">
        <f t="shared" si="1"/>
        <v>#VALUE!</v>
      </c>
      <c r="B6" s="37" t="e">
        <f>IF($A6=$A5,"",C5)</f>
        <v>#VALUE!</v>
      </c>
      <c r="C6" s="37" t="e">
        <f>IF($A6=$A5,"",Timovi!B9 &amp; " " &amp; "("&amp;Timovi!C9&amp;")")</f>
        <v>#VALUE!</v>
      </c>
      <c r="D6" s="31" t="e">
        <f>IF(E6&lt;&gt;"",IF(ISODD($A$1),IF(D5&lt;&gt;$A$1,D5+1,1),IF(ROW()=D$1,IF(A$6=$A$1-1,2,IF(A$6=$A$1-2,1,A$6+2)),IF(D5=$A$1-1,1,D5+1))),D5)</f>
        <v>#VALUE!</v>
      </c>
      <c r="E6" s="37" t="e">
        <f>IF($A6=D$1,"",F5)</f>
        <v>#VALUE!</v>
      </c>
      <c r="F6" s="38" t="e">
        <f>IF(E6&lt;&gt;"",C7,"")</f>
        <v>#VALUE!</v>
      </c>
      <c r="G6" s="31" t="e">
        <f t="shared" si="3"/>
        <v>#VALUE!</v>
      </c>
      <c r="H6" s="37" t="e">
        <f>IF($A6=G$1,"",I5)</f>
        <v>#VALUE!</v>
      </c>
      <c r="I6" s="48" t="e">
        <f>IF(H6&lt;&gt;"",F7,"")</f>
        <v>#VALUE!</v>
      </c>
      <c r="J6" s="36" t="e">
        <f t="shared" si="4"/>
        <v>#VALUE!</v>
      </c>
      <c r="K6" s="37" t="e">
        <f>IF($A6=J$1,"",L5)</f>
        <v>#VALUE!</v>
      </c>
      <c r="L6" s="38" t="e">
        <f>IF(K6&lt;&gt;"",I7,"")</f>
        <v>#VALUE!</v>
      </c>
      <c r="M6" s="31" t="e">
        <f t="shared" si="5"/>
        <v>#VALUE!</v>
      </c>
      <c r="N6" s="37" t="e">
        <f t="shared" si="6"/>
        <v>#VALUE!</v>
      </c>
      <c r="O6" s="38" t="e">
        <f t="shared" si="0"/>
        <v>#VALUE!</v>
      </c>
      <c r="P6" s="31" t="b">
        <f>IF(AND(Informacije!$D$13="DA",Informacije!$D$7=6),IF(Q6&lt;&gt;"",IF(ISODD($A$1),IF(A6&lt;&gt;$A$1,A6+3,2),IF(A6&lt;&gt;$A$1-1,IF(E7="",IF(A7=$A$1-1,IF(A7=$A$1-2,1,2),A7+2),A6+2),IF(A6&lt;&gt;$A$1-2,2,1))),""))</f>
        <v>0</v>
      </c>
      <c r="Q6" s="42"/>
      <c r="R6" s="40"/>
      <c r="S6" s="31" t="b">
        <f>IF(AND(Informacije!$D$13="DA",Informacije!$D$7=6),IF(T6&lt;&gt;"",IF(ISODD($A$1),IF(P6&lt;&gt;$A$1,P6+2,2),IF(P6&lt;&gt;$A$1-1,IF(T7="",IF(P7=$A$1-1,IF(P7=$A$1-2,1,2),P7+2),P6+2),IF(P6&lt;&gt;$A$1-2,2,1))),""))</f>
        <v>0</v>
      </c>
      <c r="V6" s="46"/>
      <c r="W6" s="46"/>
      <c r="X6" s="46"/>
      <c r="Y6" s="46"/>
      <c r="Z6" s="46"/>
      <c r="AA6" s="46"/>
    </row>
    <row r="7" spans="1:27" x14ac:dyDescent="0.25">
      <c r="A7" s="6"/>
      <c r="E7" s="4"/>
      <c r="P7" s="4"/>
      <c r="S7" s="4"/>
    </row>
    <row r="8" spans="1:27" x14ac:dyDescent="0.25">
      <c r="A8" s="6"/>
      <c r="E8" s="33"/>
      <c r="F8" s="32"/>
    </row>
    <row r="9" spans="1:27" x14ac:dyDescent="0.25">
      <c r="A9" s="6"/>
      <c r="B9" s="7"/>
      <c r="F9" s="32"/>
    </row>
    <row r="10" spans="1:27" x14ac:dyDescent="0.25">
      <c r="A10" s="6">
        <v>1</v>
      </c>
      <c r="B10" s="6">
        <v>0</v>
      </c>
      <c r="C10" s="6">
        <v>1</v>
      </c>
      <c r="D10" s="6">
        <v>1</v>
      </c>
      <c r="E10" t="str">
        <f ca="1">IF(ISNA(VLOOKUP(D10,OFFSET($A$2:$C$6,0,$B10),2,FALSE)),"",VLOOKUP(D10,OFFSET($A$2:$C$6,0,$B10),2,FALSE))</f>
        <v xml:space="preserve"> ()</v>
      </c>
      <c r="F10" s="32" t="str">
        <f ca="1">IF(ISNA(VLOOKUP(D10,OFFSET($A$2:$C$6,0,$B10),3,FALSE)),"",VLOOKUP(D10,OFFSET($A$2:$C$6,0,$B10),3,FALSE))</f>
        <v xml:space="preserve"> ()</v>
      </c>
    </row>
    <row r="11" spans="1:27" x14ac:dyDescent="0.25">
      <c r="A11" s="6">
        <v>2</v>
      </c>
      <c r="B11" s="6">
        <f>B10+3</f>
        <v>3</v>
      </c>
      <c r="C11" s="6">
        <f ca="1">IF(OR(F11="",ISNA(F11)),C10,C10+1)</f>
        <v>1</v>
      </c>
      <c r="D11" s="6">
        <f>D10</f>
        <v>1</v>
      </c>
      <c r="E11" t="str">
        <f t="shared" ref="E11:E24" ca="1" si="7">IF(ISNA(VLOOKUP(D11,OFFSET($A$2:$C$6,0,$B11),2,FALSE)),"",VLOOKUP(D11,OFFSET($A$2:$C$6,0,$B11),2,FALSE))</f>
        <v/>
      </c>
      <c r="F11" s="32" t="str">
        <f t="shared" ref="F11:F24" ca="1" si="8">IF(ISNA(VLOOKUP(D11,OFFSET($A$2:$C$6,0,$B11),3,FALSE)),"",VLOOKUP(D11,OFFSET($A$2:$C$6,0,$B11),3,FALSE))</f>
        <v/>
      </c>
    </row>
    <row r="12" spans="1:27" x14ac:dyDescent="0.25">
      <c r="A12" s="6">
        <v>3</v>
      </c>
      <c r="B12" s="6">
        <f t="shared" ref="B12:B24" si="9">B11+3</f>
        <v>6</v>
      </c>
      <c r="C12" s="6">
        <f ca="1">IF(E12="",C11,C11+1)</f>
        <v>1</v>
      </c>
      <c r="D12" s="6">
        <f t="shared" ref="D12:D24" si="10">D11</f>
        <v>1</v>
      </c>
      <c r="E12" t="str">
        <f t="shared" ca="1" si="7"/>
        <v/>
      </c>
      <c r="F12" s="32" t="str">
        <f t="shared" ca="1" si="8"/>
        <v/>
      </c>
    </row>
    <row r="13" spans="1:27" x14ac:dyDescent="0.25">
      <c r="A13" s="6">
        <v>4</v>
      </c>
      <c r="B13" s="6">
        <f t="shared" si="9"/>
        <v>9</v>
      </c>
      <c r="C13" s="6">
        <f t="shared" ref="C13:C76" ca="1" si="11">IF(E13="",C12,C12+1)</f>
        <v>1</v>
      </c>
      <c r="D13" s="6">
        <f t="shared" si="10"/>
        <v>1</v>
      </c>
      <c r="E13" t="str">
        <f t="shared" ca="1" si="7"/>
        <v/>
      </c>
      <c r="F13" s="32" t="str">
        <f t="shared" ca="1" si="8"/>
        <v/>
      </c>
    </row>
    <row r="14" spans="1:27" x14ac:dyDescent="0.25">
      <c r="A14" s="6">
        <v>5</v>
      </c>
      <c r="B14" s="6">
        <f t="shared" si="9"/>
        <v>12</v>
      </c>
      <c r="C14" s="6">
        <f t="shared" ca="1" si="11"/>
        <v>1</v>
      </c>
      <c r="D14" s="6">
        <f t="shared" si="10"/>
        <v>1</v>
      </c>
      <c r="E14" t="str">
        <f t="shared" ca="1" si="7"/>
        <v/>
      </c>
      <c r="F14" s="32" t="str">
        <f t="shared" ca="1" si="8"/>
        <v/>
      </c>
    </row>
    <row r="15" spans="1:27" x14ac:dyDescent="0.25">
      <c r="A15" s="6">
        <v>6</v>
      </c>
      <c r="B15" s="6">
        <f t="shared" si="9"/>
        <v>15</v>
      </c>
      <c r="C15" s="6">
        <f t="shared" ca="1" si="11"/>
        <v>1</v>
      </c>
      <c r="D15" s="6">
        <f t="shared" si="10"/>
        <v>1</v>
      </c>
      <c r="E15" t="str">
        <f t="shared" ca="1" si="7"/>
        <v/>
      </c>
      <c r="F15" s="32" t="str">
        <f t="shared" ca="1" si="8"/>
        <v/>
      </c>
    </row>
    <row r="16" spans="1:27" x14ac:dyDescent="0.25">
      <c r="A16" s="6">
        <v>7</v>
      </c>
      <c r="B16" s="6">
        <f t="shared" si="9"/>
        <v>18</v>
      </c>
      <c r="C16" s="6">
        <f t="shared" ca="1" si="11"/>
        <v>1</v>
      </c>
      <c r="D16" s="6">
        <f t="shared" si="10"/>
        <v>1</v>
      </c>
      <c r="E16" t="str">
        <f t="shared" ca="1" si="7"/>
        <v/>
      </c>
      <c r="F16" s="32" t="str">
        <f t="shared" ca="1" si="8"/>
        <v/>
      </c>
    </row>
    <row r="17" spans="1:6" x14ac:dyDescent="0.25">
      <c r="A17" s="6">
        <v>8</v>
      </c>
      <c r="B17" s="6">
        <f t="shared" si="9"/>
        <v>21</v>
      </c>
      <c r="C17" s="6">
        <f t="shared" ca="1" si="11"/>
        <v>1</v>
      </c>
      <c r="D17" s="6">
        <f t="shared" si="10"/>
        <v>1</v>
      </c>
      <c r="E17" t="str">
        <f t="shared" ca="1" si="7"/>
        <v/>
      </c>
      <c r="F17" s="32" t="str">
        <f t="shared" ca="1" si="8"/>
        <v/>
      </c>
    </row>
    <row r="18" spans="1:6" x14ac:dyDescent="0.25">
      <c r="A18" s="6">
        <v>9</v>
      </c>
      <c r="B18" s="6">
        <f t="shared" si="9"/>
        <v>24</v>
      </c>
      <c r="C18" s="6">
        <f t="shared" ca="1" si="11"/>
        <v>1</v>
      </c>
      <c r="D18" s="6">
        <f t="shared" si="10"/>
        <v>1</v>
      </c>
      <c r="E18" t="str">
        <f t="shared" ca="1" si="7"/>
        <v/>
      </c>
      <c r="F18" s="32" t="str">
        <f t="shared" ca="1" si="8"/>
        <v/>
      </c>
    </row>
    <row r="19" spans="1:6" x14ac:dyDescent="0.25">
      <c r="A19" s="6">
        <v>10</v>
      </c>
      <c r="B19" s="6">
        <f t="shared" si="9"/>
        <v>27</v>
      </c>
      <c r="C19" s="6">
        <f t="shared" ca="1" si="11"/>
        <v>1</v>
      </c>
      <c r="D19" s="6">
        <f t="shared" si="10"/>
        <v>1</v>
      </c>
      <c r="E19" t="str">
        <f t="shared" ca="1" si="7"/>
        <v/>
      </c>
      <c r="F19" s="32" t="str">
        <f t="shared" ca="1" si="8"/>
        <v/>
      </c>
    </row>
    <row r="20" spans="1:6" x14ac:dyDescent="0.25">
      <c r="A20" s="6">
        <v>11</v>
      </c>
      <c r="B20" s="6">
        <f t="shared" si="9"/>
        <v>30</v>
      </c>
      <c r="C20" s="6">
        <f t="shared" ca="1" si="11"/>
        <v>1</v>
      </c>
      <c r="D20" s="6">
        <f t="shared" si="10"/>
        <v>1</v>
      </c>
      <c r="E20" t="str">
        <f t="shared" ca="1" si="7"/>
        <v/>
      </c>
      <c r="F20" s="32" t="str">
        <f t="shared" ca="1" si="8"/>
        <v/>
      </c>
    </row>
    <row r="21" spans="1:6" x14ac:dyDescent="0.25">
      <c r="A21" s="6">
        <v>12</v>
      </c>
      <c r="B21" s="6">
        <f t="shared" si="9"/>
        <v>33</v>
      </c>
      <c r="C21" s="6">
        <f t="shared" ca="1" si="11"/>
        <v>1</v>
      </c>
      <c r="D21" s="6">
        <f t="shared" si="10"/>
        <v>1</v>
      </c>
      <c r="E21" t="str">
        <f t="shared" ca="1" si="7"/>
        <v/>
      </c>
      <c r="F21" s="32" t="str">
        <f t="shared" ca="1" si="8"/>
        <v/>
      </c>
    </row>
    <row r="22" spans="1:6" x14ac:dyDescent="0.25">
      <c r="A22" s="6">
        <v>13</v>
      </c>
      <c r="B22" s="6">
        <f t="shared" si="9"/>
        <v>36</v>
      </c>
      <c r="C22" s="6">
        <f t="shared" ca="1" si="11"/>
        <v>1</v>
      </c>
      <c r="D22" s="6">
        <f t="shared" si="10"/>
        <v>1</v>
      </c>
      <c r="E22" t="str">
        <f t="shared" ca="1" si="7"/>
        <v/>
      </c>
      <c r="F22" s="32" t="str">
        <f t="shared" ca="1" si="8"/>
        <v/>
      </c>
    </row>
    <row r="23" spans="1:6" x14ac:dyDescent="0.25">
      <c r="A23" s="6">
        <v>14</v>
      </c>
      <c r="B23" s="6">
        <f t="shared" si="9"/>
        <v>39</v>
      </c>
      <c r="C23" s="6">
        <f t="shared" ca="1" si="11"/>
        <v>1</v>
      </c>
      <c r="D23" s="6">
        <f t="shared" si="10"/>
        <v>1</v>
      </c>
      <c r="E23" t="str">
        <f t="shared" ca="1" si="7"/>
        <v/>
      </c>
      <c r="F23" s="32" t="str">
        <f t="shared" ca="1" si="8"/>
        <v/>
      </c>
    </row>
    <row r="24" spans="1:6" x14ac:dyDescent="0.25">
      <c r="A24" s="6">
        <v>15</v>
      </c>
      <c r="B24" s="6">
        <f t="shared" si="9"/>
        <v>42</v>
      </c>
      <c r="C24" s="6">
        <f t="shared" ca="1" si="11"/>
        <v>1</v>
      </c>
      <c r="D24" s="6">
        <f t="shared" si="10"/>
        <v>1</v>
      </c>
      <c r="E24" t="str">
        <f t="shared" ca="1" si="7"/>
        <v/>
      </c>
      <c r="F24" s="32" t="str">
        <f t="shared" ca="1" si="8"/>
        <v/>
      </c>
    </row>
    <row r="25" spans="1:6" x14ac:dyDescent="0.25">
      <c r="C25" s="6">
        <f t="shared" ca="1" si="11"/>
        <v>1</v>
      </c>
      <c r="D25" s="6">
        <f>D24+1</f>
        <v>2</v>
      </c>
      <c r="E25" t="str">
        <f ca="1">IF(ISNA(VLOOKUP(D25,OFFSET($A$2:$C$6,0,$B10),2,FALSE)),"",VLOOKUP(D25,OFFSET($A$2:$C$6,0,$B10),2,FALSE))</f>
        <v/>
      </c>
      <c r="F25" s="32" t="str">
        <f ca="1">IF(ISNA(VLOOKUP(D25,OFFSET($A$2:$C$6,0,$B10),3,FALSE)),"",VLOOKUP(D25,OFFSET($A$2:$C$6,0,$B10),3,FALSE))</f>
        <v/>
      </c>
    </row>
    <row r="26" spans="1:6" x14ac:dyDescent="0.25">
      <c r="C26" s="6">
        <f t="shared" ca="1" si="11"/>
        <v>1</v>
      </c>
      <c r="D26" s="6">
        <f>D25</f>
        <v>2</v>
      </c>
      <c r="E26" t="str">
        <f t="shared" ref="E26:E39" ca="1" si="12">IF(ISNA(VLOOKUP(D26,OFFSET($A$2:$C$6,0,$B11),2,FALSE)),"",VLOOKUP(D26,OFFSET($A$2:$C$6,0,$B11),2,FALSE))</f>
        <v/>
      </c>
      <c r="F26" s="32" t="str">
        <f t="shared" ref="F26:F39" ca="1" si="13">IF(ISNA(VLOOKUP(D26,OFFSET($A$2:$C$6,0,$B11),3,FALSE)),"",VLOOKUP(D26,OFFSET($A$2:$C$6,0,$B11),3,FALSE))</f>
        <v/>
      </c>
    </row>
    <row r="27" spans="1:6" x14ac:dyDescent="0.25">
      <c r="C27" s="6">
        <f t="shared" ca="1" si="11"/>
        <v>1</v>
      </c>
      <c r="D27" s="6">
        <f t="shared" ref="D27:D39" si="14">D26</f>
        <v>2</v>
      </c>
      <c r="E27" t="str">
        <f t="shared" ca="1" si="12"/>
        <v/>
      </c>
      <c r="F27" s="32" t="str">
        <f t="shared" ca="1" si="13"/>
        <v/>
      </c>
    </row>
    <row r="28" spans="1:6" x14ac:dyDescent="0.25">
      <c r="C28" s="6">
        <f t="shared" ca="1" si="11"/>
        <v>1</v>
      </c>
      <c r="D28" s="6">
        <f t="shared" si="14"/>
        <v>2</v>
      </c>
      <c r="E28" t="str">
        <f t="shared" ca="1" si="12"/>
        <v/>
      </c>
      <c r="F28" s="32" t="str">
        <f t="shared" ca="1" si="13"/>
        <v/>
      </c>
    </row>
    <row r="29" spans="1:6" x14ac:dyDescent="0.25">
      <c r="C29" s="6">
        <f t="shared" ca="1" si="11"/>
        <v>1</v>
      </c>
      <c r="D29" s="6">
        <f t="shared" si="14"/>
        <v>2</v>
      </c>
      <c r="E29" t="str">
        <f t="shared" ca="1" si="12"/>
        <v/>
      </c>
      <c r="F29" s="32" t="str">
        <f t="shared" ca="1" si="13"/>
        <v/>
      </c>
    </row>
    <row r="30" spans="1:6" x14ac:dyDescent="0.25">
      <c r="C30" s="6">
        <f t="shared" ca="1" si="11"/>
        <v>1</v>
      </c>
      <c r="D30" s="6">
        <f t="shared" si="14"/>
        <v>2</v>
      </c>
      <c r="E30" t="str">
        <f t="shared" ca="1" si="12"/>
        <v/>
      </c>
      <c r="F30" s="32" t="str">
        <f t="shared" ca="1" si="13"/>
        <v/>
      </c>
    </row>
    <row r="31" spans="1:6" x14ac:dyDescent="0.25">
      <c r="C31" s="6">
        <f t="shared" ca="1" si="11"/>
        <v>1</v>
      </c>
      <c r="D31" s="6">
        <f t="shared" si="14"/>
        <v>2</v>
      </c>
      <c r="E31" t="str">
        <f t="shared" ca="1" si="12"/>
        <v/>
      </c>
      <c r="F31" s="32" t="str">
        <f t="shared" ca="1" si="13"/>
        <v/>
      </c>
    </row>
    <row r="32" spans="1:6" x14ac:dyDescent="0.25">
      <c r="C32" s="6">
        <f t="shared" ca="1" si="11"/>
        <v>1</v>
      </c>
      <c r="D32" s="6">
        <f t="shared" si="14"/>
        <v>2</v>
      </c>
      <c r="E32" t="str">
        <f t="shared" ca="1" si="12"/>
        <v/>
      </c>
      <c r="F32" s="32" t="str">
        <f t="shared" ca="1" si="13"/>
        <v/>
      </c>
    </row>
    <row r="33" spans="3:6" x14ac:dyDescent="0.25">
      <c r="C33" s="6">
        <f t="shared" ca="1" si="11"/>
        <v>1</v>
      </c>
      <c r="D33" s="6">
        <f t="shared" si="14"/>
        <v>2</v>
      </c>
      <c r="E33" t="str">
        <f t="shared" ca="1" si="12"/>
        <v/>
      </c>
      <c r="F33" s="32" t="str">
        <f t="shared" ca="1" si="13"/>
        <v/>
      </c>
    </row>
    <row r="34" spans="3:6" x14ac:dyDescent="0.25">
      <c r="C34" s="6">
        <f t="shared" ca="1" si="11"/>
        <v>1</v>
      </c>
      <c r="D34" s="6">
        <f t="shared" si="14"/>
        <v>2</v>
      </c>
      <c r="E34" t="str">
        <f t="shared" ca="1" si="12"/>
        <v/>
      </c>
      <c r="F34" s="32" t="str">
        <f t="shared" ca="1" si="13"/>
        <v/>
      </c>
    </row>
    <row r="35" spans="3:6" x14ac:dyDescent="0.25">
      <c r="C35" s="6">
        <f t="shared" ca="1" si="11"/>
        <v>1</v>
      </c>
      <c r="D35" s="6">
        <f t="shared" si="14"/>
        <v>2</v>
      </c>
      <c r="E35" t="str">
        <f t="shared" ca="1" si="12"/>
        <v/>
      </c>
      <c r="F35" s="32" t="str">
        <f t="shared" ca="1" si="13"/>
        <v/>
      </c>
    </row>
    <row r="36" spans="3:6" x14ac:dyDescent="0.25">
      <c r="C36" s="6">
        <f t="shared" ca="1" si="11"/>
        <v>1</v>
      </c>
      <c r="D36" s="6">
        <f t="shared" si="14"/>
        <v>2</v>
      </c>
      <c r="E36" t="str">
        <f t="shared" ca="1" si="12"/>
        <v/>
      </c>
      <c r="F36" s="32" t="str">
        <f t="shared" ca="1" si="13"/>
        <v/>
      </c>
    </row>
    <row r="37" spans="3:6" x14ac:dyDescent="0.25">
      <c r="C37" s="6">
        <f t="shared" ca="1" si="11"/>
        <v>1</v>
      </c>
      <c r="D37" s="6">
        <f t="shared" si="14"/>
        <v>2</v>
      </c>
      <c r="E37" t="str">
        <f t="shared" ca="1" si="12"/>
        <v/>
      </c>
      <c r="F37" s="32" t="str">
        <f t="shared" ca="1" si="13"/>
        <v/>
      </c>
    </row>
    <row r="38" spans="3:6" x14ac:dyDescent="0.25">
      <c r="C38" s="6">
        <f t="shared" ca="1" si="11"/>
        <v>1</v>
      </c>
      <c r="D38" s="6">
        <f t="shared" si="14"/>
        <v>2</v>
      </c>
      <c r="E38" t="str">
        <f t="shared" ca="1" si="12"/>
        <v/>
      </c>
      <c r="F38" s="32" t="str">
        <f t="shared" ca="1" si="13"/>
        <v/>
      </c>
    </row>
    <row r="39" spans="3:6" x14ac:dyDescent="0.25">
      <c r="C39" s="6">
        <f t="shared" ca="1" si="11"/>
        <v>1</v>
      </c>
      <c r="D39" s="6">
        <f t="shared" si="14"/>
        <v>2</v>
      </c>
      <c r="E39" t="str">
        <f t="shared" ca="1" si="12"/>
        <v/>
      </c>
      <c r="F39" s="32" t="str">
        <f t="shared" ca="1" si="13"/>
        <v/>
      </c>
    </row>
    <row r="40" spans="3:6" x14ac:dyDescent="0.25">
      <c r="C40" s="6">
        <f t="shared" ca="1" si="11"/>
        <v>1</v>
      </c>
      <c r="D40" s="6">
        <f>D39+1</f>
        <v>3</v>
      </c>
      <c r="E40" t="str">
        <f ca="1">IF(ISNA(VLOOKUP(D40,OFFSET($A$2:$C$6,0,$B10),2,FALSE)),"",VLOOKUP(D40,OFFSET($A$2:$C$6,0,$B10),2,FALSE))</f>
        <v/>
      </c>
      <c r="F40" s="32" t="str">
        <f ca="1">IF(ISNA(VLOOKUP(D40,OFFSET($A$2:$C$6,0,$B10),3,FALSE)),"",VLOOKUP(D40,OFFSET($A$2:$C$6,0,$B10),3,FALSE))</f>
        <v/>
      </c>
    </row>
    <row r="41" spans="3:6" x14ac:dyDescent="0.25">
      <c r="C41" s="6">
        <f t="shared" ca="1" si="11"/>
        <v>1</v>
      </c>
      <c r="D41" s="6">
        <f>D40</f>
        <v>3</v>
      </c>
      <c r="E41" t="str">
        <f t="shared" ref="E41:E54" ca="1" si="15">IF(ISNA(VLOOKUP(D41,OFFSET($A$2:$C$6,0,$B11),2,FALSE)),"",VLOOKUP(D41,OFFSET($A$2:$C$6,0,$B11),2,FALSE))</f>
        <v/>
      </c>
      <c r="F41" s="32" t="str">
        <f t="shared" ref="F41:F54" ca="1" si="16">IF(ISNA(VLOOKUP(D41,OFFSET($A$2:$C$6,0,$B11),3,FALSE)),"",VLOOKUP(D41,OFFSET($A$2:$C$6,0,$B11),3,FALSE))</f>
        <v/>
      </c>
    </row>
    <row r="42" spans="3:6" x14ac:dyDescent="0.25">
      <c r="C42" s="6">
        <f t="shared" ca="1" si="11"/>
        <v>1</v>
      </c>
      <c r="D42" s="6">
        <f t="shared" ref="D42:D54" si="17">D41</f>
        <v>3</v>
      </c>
      <c r="E42" t="str">
        <f t="shared" ca="1" si="15"/>
        <v/>
      </c>
      <c r="F42" s="32" t="str">
        <f t="shared" ca="1" si="16"/>
        <v/>
      </c>
    </row>
    <row r="43" spans="3:6" x14ac:dyDescent="0.25">
      <c r="C43" s="6">
        <f t="shared" ca="1" si="11"/>
        <v>1</v>
      </c>
      <c r="D43" s="6">
        <f t="shared" si="17"/>
        <v>3</v>
      </c>
      <c r="E43" t="str">
        <f t="shared" ca="1" si="15"/>
        <v/>
      </c>
      <c r="F43" s="32" t="str">
        <f t="shared" ca="1" si="16"/>
        <v/>
      </c>
    </row>
    <row r="44" spans="3:6" x14ac:dyDescent="0.25">
      <c r="C44" s="6">
        <f t="shared" ca="1" si="11"/>
        <v>1</v>
      </c>
      <c r="D44" s="6">
        <f t="shared" si="17"/>
        <v>3</v>
      </c>
      <c r="E44" t="str">
        <f t="shared" ca="1" si="15"/>
        <v/>
      </c>
      <c r="F44" s="32" t="str">
        <f t="shared" ca="1" si="16"/>
        <v/>
      </c>
    </row>
    <row r="45" spans="3:6" x14ac:dyDescent="0.25">
      <c r="C45" s="6">
        <f t="shared" ca="1" si="11"/>
        <v>1</v>
      </c>
      <c r="D45" s="6">
        <f t="shared" si="17"/>
        <v>3</v>
      </c>
      <c r="E45" t="str">
        <f t="shared" ca="1" si="15"/>
        <v/>
      </c>
      <c r="F45" s="32" t="str">
        <f t="shared" ca="1" si="16"/>
        <v/>
      </c>
    </row>
    <row r="46" spans="3:6" x14ac:dyDescent="0.25">
      <c r="C46" s="6">
        <f t="shared" ca="1" si="11"/>
        <v>1</v>
      </c>
      <c r="D46" s="6">
        <f t="shared" si="17"/>
        <v>3</v>
      </c>
      <c r="E46" t="str">
        <f t="shared" ca="1" si="15"/>
        <v/>
      </c>
      <c r="F46" s="32" t="str">
        <f t="shared" ca="1" si="16"/>
        <v/>
      </c>
    </row>
    <row r="47" spans="3:6" x14ac:dyDescent="0.25">
      <c r="C47" s="6">
        <f t="shared" ca="1" si="11"/>
        <v>1</v>
      </c>
      <c r="D47" s="6">
        <f t="shared" si="17"/>
        <v>3</v>
      </c>
      <c r="E47" t="str">
        <f t="shared" ca="1" si="15"/>
        <v/>
      </c>
      <c r="F47" s="32" t="str">
        <f t="shared" ca="1" si="16"/>
        <v/>
      </c>
    </row>
    <row r="48" spans="3:6" x14ac:dyDescent="0.25">
      <c r="C48" s="6">
        <f t="shared" ca="1" si="11"/>
        <v>1</v>
      </c>
      <c r="D48" s="6">
        <f t="shared" si="17"/>
        <v>3</v>
      </c>
      <c r="E48" t="str">
        <f t="shared" ca="1" si="15"/>
        <v/>
      </c>
      <c r="F48" s="32" t="str">
        <f t="shared" ca="1" si="16"/>
        <v/>
      </c>
    </row>
    <row r="49" spans="3:6" x14ac:dyDescent="0.25">
      <c r="C49" s="6">
        <f t="shared" ca="1" si="11"/>
        <v>1</v>
      </c>
      <c r="D49" s="6">
        <f t="shared" si="17"/>
        <v>3</v>
      </c>
      <c r="E49" t="str">
        <f t="shared" ca="1" si="15"/>
        <v/>
      </c>
      <c r="F49" s="32" t="str">
        <f t="shared" ca="1" si="16"/>
        <v/>
      </c>
    </row>
    <row r="50" spans="3:6" x14ac:dyDescent="0.25">
      <c r="C50" s="6">
        <f t="shared" ca="1" si="11"/>
        <v>1</v>
      </c>
      <c r="D50" s="6">
        <f t="shared" si="17"/>
        <v>3</v>
      </c>
      <c r="E50" t="str">
        <f t="shared" ca="1" si="15"/>
        <v/>
      </c>
      <c r="F50" s="32" t="str">
        <f t="shared" ca="1" si="16"/>
        <v/>
      </c>
    </row>
    <row r="51" spans="3:6" x14ac:dyDescent="0.25">
      <c r="C51" s="6">
        <f t="shared" ca="1" si="11"/>
        <v>1</v>
      </c>
      <c r="D51" s="6">
        <f t="shared" si="17"/>
        <v>3</v>
      </c>
      <c r="E51" t="str">
        <f t="shared" ca="1" si="15"/>
        <v/>
      </c>
      <c r="F51" s="32" t="str">
        <f t="shared" ca="1" si="16"/>
        <v/>
      </c>
    </row>
    <row r="52" spans="3:6" x14ac:dyDescent="0.25">
      <c r="C52" s="6">
        <f t="shared" ca="1" si="11"/>
        <v>1</v>
      </c>
      <c r="D52" s="6">
        <f t="shared" si="17"/>
        <v>3</v>
      </c>
      <c r="E52" t="str">
        <f t="shared" ca="1" si="15"/>
        <v/>
      </c>
      <c r="F52" s="32" t="str">
        <f t="shared" ca="1" si="16"/>
        <v/>
      </c>
    </row>
    <row r="53" spans="3:6" x14ac:dyDescent="0.25">
      <c r="C53" s="6">
        <f t="shared" ca="1" si="11"/>
        <v>1</v>
      </c>
      <c r="D53" s="6">
        <f t="shared" si="17"/>
        <v>3</v>
      </c>
      <c r="E53" t="str">
        <f t="shared" ca="1" si="15"/>
        <v/>
      </c>
      <c r="F53" s="32" t="str">
        <f t="shared" ca="1" si="16"/>
        <v/>
      </c>
    </row>
    <row r="54" spans="3:6" x14ac:dyDescent="0.25">
      <c r="C54" s="6">
        <f t="shared" ca="1" si="11"/>
        <v>1</v>
      </c>
      <c r="D54" s="6">
        <f t="shared" si="17"/>
        <v>3</v>
      </c>
      <c r="E54" t="str">
        <f t="shared" ca="1" si="15"/>
        <v/>
      </c>
      <c r="F54" s="32" t="str">
        <f t="shared" ca="1" si="16"/>
        <v/>
      </c>
    </row>
    <row r="55" spans="3:6" x14ac:dyDescent="0.25">
      <c r="C55" s="6">
        <f t="shared" ca="1" si="11"/>
        <v>1</v>
      </c>
      <c r="D55" s="6">
        <f>D54+1</f>
        <v>4</v>
      </c>
      <c r="E55" t="str">
        <f ca="1">IF(ISNA(VLOOKUP(D55,OFFSET($A$2:$C$6,0,$B10),2,FALSE)),"",VLOOKUP(D55,OFFSET($A$2:$C$6,0,$B10),2,FALSE))</f>
        <v/>
      </c>
      <c r="F55" s="32" t="str">
        <f ca="1">IF(ISNA(VLOOKUP(D55,OFFSET($A$2:$C$6,0,$B10),3,FALSE)),"",VLOOKUP(D55,OFFSET($A$2:$C$6,0,$B10),3,FALSE))</f>
        <v/>
      </c>
    </row>
    <row r="56" spans="3:6" x14ac:dyDescent="0.25">
      <c r="C56" s="6">
        <f t="shared" ca="1" si="11"/>
        <v>1</v>
      </c>
      <c r="D56" s="6">
        <f>D55</f>
        <v>4</v>
      </c>
      <c r="E56" t="str">
        <f t="shared" ref="E56:E69" ca="1" si="18">IF(ISNA(VLOOKUP(D56,OFFSET($A$2:$C$6,0,$B11),2,FALSE)),"",VLOOKUP(D56,OFFSET($A$2:$C$6,0,$B11),2,FALSE))</f>
        <v/>
      </c>
      <c r="F56" s="32" t="str">
        <f t="shared" ref="F56:F69" ca="1" si="19">IF(ISNA(VLOOKUP(D56,OFFSET($A$2:$C$6,0,$B11),3,FALSE)),"",VLOOKUP(D56,OFFSET($A$2:$C$6,0,$B11),3,FALSE))</f>
        <v/>
      </c>
    </row>
    <row r="57" spans="3:6" x14ac:dyDescent="0.25">
      <c r="C57" s="6">
        <f t="shared" ca="1" si="11"/>
        <v>1</v>
      </c>
      <c r="D57" s="6">
        <f t="shared" ref="D57:D69" si="20">D56</f>
        <v>4</v>
      </c>
      <c r="E57" t="str">
        <f t="shared" ca="1" si="18"/>
        <v/>
      </c>
      <c r="F57" s="32" t="str">
        <f t="shared" ca="1" si="19"/>
        <v/>
      </c>
    </row>
    <row r="58" spans="3:6" x14ac:dyDescent="0.25">
      <c r="C58" s="6">
        <f t="shared" ca="1" si="11"/>
        <v>1</v>
      </c>
      <c r="D58" s="6">
        <f t="shared" si="20"/>
        <v>4</v>
      </c>
      <c r="E58" t="str">
        <f t="shared" ca="1" si="18"/>
        <v/>
      </c>
      <c r="F58" s="32" t="str">
        <f t="shared" ca="1" si="19"/>
        <v/>
      </c>
    </row>
    <row r="59" spans="3:6" x14ac:dyDescent="0.25">
      <c r="C59" s="6">
        <f t="shared" ca="1" si="11"/>
        <v>1</v>
      </c>
      <c r="D59" s="6">
        <f t="shared" si="20"/>
        <v>4</v>
      </c>
      <c r="E59" t="str">
        <f t="shared" ca="1" si="18"/>
        <v/>
      </c>
      <c r="F59" s="32" t="str">
        <f t="shared" ca="1" si="19"/>
        <v/>
      </c>
    </row>
    <row r="60" spans="3:6" x14ac:dyDescent="0.25">
      <c r="C60" s="6">
        <f t="shared" ca="1" si="11"/>
        <v>1</v>
      </c>
      <c r="D60" s="6">
        <f t="shared" si="20"/>
        <v>4</v>
      </c>
      <c r="E60" t="str">
        <f t="shared" ca="1" si="18"/>
        <v/>
      </c>
      <c r="F60" s="32" t="str">
        <f t="shared" ca="1" si="19"/>
        <v/>
      </c>
    </row>
    <row r="61" spans="3:6" x14ac:dyDescent="0.25">
      <c r="C61" s="6">
        <f t="shared" ca="1" si="11"/>
        <v>1</v>
      </c>
      <c r="D61" s="6">
        <f t="shared" si="20"/>
        <v>4</v>
      </c>
      <c r="E61" t="str">
        <f t="shared" ca="1" si="18"/>
        <v/>
      </c>
      <c r="F61" s="32" t="str">
        <f t="shared" ca="1" si="19"/>
        <v/>
      </c>
    </row>
    <row r="62" spans="3:6" x14ac:dyDescent="0.25">
      <c r="C62" s="6">
        <f t="shared" ca="1" si="11"/>
        <v>1</v>
      </c>
      <c r="D62" s="6">
        <f t="shared" si="20"/>
        <v>4</v>
      </c>
      <c r="E62" t="str">
        <f t="shared" ca="1" si="18"/>
        <v/>
      </c>
      <c r="F62" s="32" t="str">
        <f t="shared" ca="1" si="19"/>
        <v/>
      </c>
    </row>
    <row r="63" spans="3:6" x14ac:dyDescent="0.25">
      <c r="C63" s="6">
        <f t="shared" ca="1" si="11"/>
        <v>1</v>
      </c>
      <c r="D63" s="6">
        <f t="shared" si="20"/>
        <v>4</v>
      </c>
      <c r="E63" t="str">
        <f t="shared" ca="1" si="18"/>
        <v/>
      </c>
      <c r="F63" s="32" t="str">
        <f t="shared" ca="1" si="19"/>
        <v/>
      </c>
    </row>
    <row r="64" spans="3:6" x14ac:dyDescent="0.25">
      <c r="C64" s="6">
        <f t="shared" ca="1" si="11"/>
        <v>1</v>
      </c>
      <c r="D64" s="6">
        <f t="shared" si="20"/>
        <v>4</v>
      </c>
      <c r="E64" t="str">
        <f t="shared" ca="1" si="18"/>
        <v/>
      </c>
      <c r="F64" s="32" t="str">
        <f t="shared" ca="1" si="19"/>
        <v/>
      </c>
    </row>
    <row r="65" spans="3:6" x14ac:dyDescent="0.25">
      <c r="C65" s="6">
        <f t="shared" ca="1" si="11"/>
        <v>1</v>
      </c>
      <c r="D65" s="6">
        <f t="shared" si="20"/>
        <v>4</v>
      </c>
      <c r="E65" t="str">
        <f t="shared" ca="1" si="18"/>
        <v/>
      </c>
      <c r="F65" s="32" t="str">
        <f t="shared" ca="1" si="19"/>
        <v/>
      </c>
    </row>
    <row r="66" spans="3:6" x14ac:dyDescent="0.25">
      <c r="C66" s="6">
        <f t="shared" ca="1" si="11"/>
        <v>1</v>
      </c>
      <c r="D66" s="6">
        <f t="shared" si="20"/>
        <v>4</v>
      </c>
      <c r="E66" t="str">
        <f t="shared" ca="1" si="18"/>
        <v/>
      </c>
      <c r="F66" s="32" t="str">
        <f t="shared" ca="1" si="19"/>
        <v/>
      </c>
    </row>
    <row r="67" spans="3:6" x14ac:dyDescent="0.25">
      <c r="C67" s="6">
        <f t="shared" ca="1" si="11"/>
        <v>1</v>
      </c>
      <c r="D67" s="6">
        <f t="shared" si="20"/>
        <v>4</v>
      </c>
      <c r="E67" t="str">
        <f t="shared" ca="1" si="18"/>
        <v/>
      </c>
      <c r="F67" s="32" t="str">
        <f t="shared" ca="1" si="19"/>
        <v/>
      </c>
    </row>
    <row r="68" spans="3:6" x14ac:dyDescent="0.25">
      <c r="C68" s="6">
        <f t="shared" ca="1" si="11"/>
        <v>1</v>
      </c>
      <c r="D68" s="6">
        <f t="shared" si="20"/>
        <v>4</v>
      </c>
      <c r="E68" t="str">
        <f t="shared" ca="1" si="18"/>
        <v/>
      </c>
      <c r="F68" s="32" t="str">
        <f t="shared" ca="1" si="19"/>
        <v/>
      </c>
    </row>
    <row r="69" spans="3:6" x14ac:dyDescent="0.25">
      <c r="C69" s="6">
        <f t="shared" ca="1" si="11"/>
        <v>1</v>
      </c>
      <c r="D69" s="6">
        <f t="shared" si="20"/>
        <v>4</v>
      </c>
      <c r="E69" t="str">
        <f t="shared" ca="1" si="18"/>
        <v/>
      </c>
      <c r="F69" s="32" t="str">
        <f t="shared" ca="1" si="19"/>
        <v/>
      </c>
    </row>
    <row r="70" spans="3:6" x14ac:dyDescent="0.25">
      <c r="C70" s="6">
        <f t="shared" ca="1" si="11"/>
        <v>1</v>
      </c>
      <c r="D70" s="6">
        <f>D69+1</f>
        <v>5</v>
      </c>
      <c r="E70" t="str">
        <f ca="1">IF(ISNA(VLOOKUP(D70,OFFSET($A$2:$C$6,0,$B10),2,FALSE)),"",VLOOKUP(D70,OFFSET($A$2:$C$6,0,$B10),2,FALSE))</f>
        <v/>
      </c>
      <c r="F70" s="32" t="str">
        <f ca="1">IF(ISNA(VLOOKUP(D70,OFFSET($A$2:$C$6,0,$B10),3,FALSE)),"",VLOOKUP(D70,OFFSET($A$2:$C$6,0,$B10),3,FALSE))</f>
        <v/>
      </c>
    </row>
    <row r="71" spans="3:6" x14ac:dyDescent="0.25">
      <c r="C71" s="6">
        <f t="shared" ca="1" si="11"/>
        <v>1</v>
      </c>
      <c r="D71" s="6">
        <f>D70</f>
        <v>5</v>
      </c>
      <c r="E71" t="str">
        <f t="shared" ref="E71:E84" ca="1" si="21">IF(ISNA(VLOOKUP(D71,OFFSET($A$2:$C$6,0,$B11),2,FALSE)),"",VLOOKUP(D71,OFFSET($A$2:$C$6,0,$B11),2,FALSE))</f>
        <v/>
      </c>
      <c r="F71" s="32" t="str">
        <f t="shared" ref="F71:F84" ca="1" si="22">IF(ISNA(VLOOKUP(D71,OFFSET($A$2:$C$6,0,$B11),3,FALSE)),"",VLOOKUP(D71,OFFSET($A$2:$C$6,0,$B11),3,FALSE))</f>
        <v/>
      </c>
    </row>
    <row r="72" spans="3:6" x14ac:dyDescent="0.25">
      <c r="C72" s="6">
        <f t="shared" ca="1" si="11"/>
        <v>1</v>
      </c>
      <c r="D72" s="6">
        <f t="shared" ref="D72:D84" si="23">D71</f>
        <v>5</v>
      </c>
      <c r="E72" t="str">
        <f t="shared" ca="1" si="21"/>
        <v/>
      </c>
      <c r="F72" s="32" t="str">
        <f t="shared" ca="1" si="22"/>
        <v/>
      </c>
    </row>
    <row r="73" spans="3:6" x14ac:dyDescent="0.25">
      <c r="C73" s="6">
        <f t="shared" ca="1" si="11"/>
        <v>1</v>
      </c>
      <c r="D73" s="6">
        <f t="shared" si="23"/>
        <v>5</v>
      </c>
      <c r="E73" t="str">
        <f t="shared" ca="1" si="21"/>
        <v/>
      </c>
      <c r="F73" s="32" t="str">
        <f t="shared" ca="1" si="22"/>
        <v/>
      </c>
    </row>
    <row r="74" spans="3:6" x14ac:dyDescent="0.25">
      <c r="C74" s="6">
        <f t="shared" ca="1" si="11"/>
        <v>1</v>
      </c>
      <c r="D74" s="6">
        <f t="shared" si="23"/>
        <v>5</v>
      </c>
      <c r="E74" t="str">
        <f t="shared" ca="1" si="21"/>
        <v/>
      </c>
      <c r="F74" s="32" t="str">
        <f t="shared" ca="1" si="22"/>
        <v/>
      </c>
    </row>
    <row r="75" spans="3:6" x14ac:dyDescent="0.25">
      <c r="C75" s="6">
        <f ca="1">IF(E75="",C74,C74+1)</f>
        <v>1</v>
      </c>
      <c r="D75" s="6">
        <f t="shared" si="23"/>
        <v>5</v>
      </c>
      <c r="E75" t="str">
        <f t="shared" ca="1" si="21"/>
        <v/>
      </c>
      <c r="F75" s="32" t="str">
        <f ca="1">IF(ISNA(VLOOKUP(D75,OFFSET($A$2:$C$6,0,$B15),3,FALSE)),"",VLOOKUP(D75,OFFSET($A$2:$C$6,0,$B15),3,FALSE))</f>
        <v/>
      </c>
    </row>
    <row r="76" spans="3:6" x14ac:dyDescent="0.25">
      <c r="C76" s="6">
        <f t="shared" ca="1" si="11"/>
        <v>1</v>
      </c>
      <c r="D76" s="6">
        <f t="shared" si="23"/>
        <v>5</v>
      </c>
      <c r="E76" t="str">
        <f t="shared" ca="1" si="21"/>
        <v/>
      </c>
      <c r="F76" s="32" t="str">
        <f t="shared" ca="1" si="22"/>
        <v/>
      </c>
    </row>
    <row r="77" spans="3:6" x14ac:dyDescent="0.25">
      <c r="C77" s="6">
        <f t="shared" ref="C77:C99" ca="1" si="24">IF(E77="",C76,C76+1)</f>
        <v>1</v>
      </c>
      <c r="D77" s="6">
        <f t="shared" si="23"/>
        <v>5</v>
      </c>
      <c r="E77" t="str">
        <f t="shared" ca="1" si="21"/>
        <v/>
      </c>
      <c r="F77" s="32" t="str">
        <f t="shared" ca="1" si="22"/>
        <v/>
      </c>
    </row>
    <row r="78" spans="3:6" x14ac:dyDescent="0.25">
      <c r="C78" s="6">
        <f t="shared" ca="1" si="24"/>
        <v>1</v>
      </c>
      <c r="D78" s="6">
        <f t="shared" si="23"/>
        <v>5</v>
      </c>
      <c r="E78" t="str">
        <f t="shared" ca="1" si="21"/>
        <v/>
      </c>
      <c r="F78" s="32" t="str">
        <f t="shared" ca="1" si="22"/>
        <v/>
      </c>
    </row>
    <row r="79" spans="3:6" x14ac:dyDescent="0.25">
      <c r="C79" s="6">
        <f t="shared" ca="1" si="24"/>
        <v>1</v>
      </c>
      <c r="D79" s="6">
        <f t="shared" si="23"/>
        <v>5</v>
      </c>
      <c r="E79" t="str">
        <f t="shared" ca="1" si="21"/>
        <v/>
      </c>
      <c r="F79" s="32" t="str">
        <f t="shared" ca="1" si="22"/>
        <v/>
      </c>
    </row>
    <row r="80" spans="3:6" x14ac:dyDescent="0.25">
      <c r="C80" s="6">
        <f t="shared" ca="1" si="24"/>
        <v>1</v>
      </c>
      <c r="D80" s="6">
        <f t="shared" si="23"/>
        <v>5</v>
      </c>
      <c r="E80" t="str">
        <f t="shared" ca="1" si="21"/>
        <v/>
      </c>
      <c r="F80" s="32" t="str">
        <f t="shared" ca="1" si="22"/>
        <v/>
      </c>
    </row>
    <row r="81" spans="3:6" x14ac:dyDescent="0.25">
      <c r="C81" s="6">
        <f t="shared" ca="1" si="24"/>
        <v>1</v>
      </c>
      <c r="D81" s="6">
        <f t="shared" si="23"/>
        <v>5</v>
      </c>
      <c r="E81" t="str">
        <f t="shared" ca="1" si="21"/>
        <v/>
      </c>
      <c r="F81" s="32" t="str">
        <f t="shared" ca="1" si="22"/>
        <v/>
      </c>
    </row>
    <row r="82" spans="3:6" x14ac:dyDescent="0.25">
      <c r="C82" s="6">
        <f t="shared" ca="1" si="24"/>
        <v>1</v>
      </c>
      <c r="D82" s="6">
        <f t="shared" si="23"/>
        <v>5</v>
      </c>
      <c r="E82" t="str">
        <f t="shared" ca="1" si="21"/>
        <v/>
      </c>
      <c r="F82" s="32" t="str">
        <f t="shared" ca="1" si="22"/>
        <v/>
      </c>
    </row>
    <row r="83" spans="3:6" x14ac:dyDescent="0.25">
      <c r="C83" s="6">
        <f t="shared" ca="1" si="24"/>
        <v>1</v>
      </c>
      <c r="D83" s="6">
        <f t="shared" si="23"/>
        <v>5</v>
      </c>
      <c r="E83" t="str">
        <f t="shared" ca="1" si="21"/>
        <v/>
      </c>
      <c r="F83" s="32" t="str">
        <f t="shared" ca="1" si="22"/>
        <v/>
      </c>
    </row>
    <row r="84" spans="3:6" x14ac:dyDescent="0.25">
      <c r="C84" s="6">
        <f ca="1">IF(E84="",C83,C83+1)</f>
        <v>1</v>
      </c>
      <c r="D84" s="6">
        <f t="shared" si="23"/>
        <v>5</v>
      </c>
      <c r="E84" t="str">
        <f t="shared" ca="1" si="21"/>
        <v/>
      </c>
      <c r="F84" s="32" t="str">
        <f t="shared" ca="1" si="22"/>
        <v/>
      </c>
    </row>
    <row r="85" spans="3:6" x14ac:dyDescent="0.25">
      <c r="C85" s="6">
        <f t="shared" ca="1" si="24"/>
        <v>1</v>
      </c>
      <c r="D85" s="6">
        <f>D84+1</f>
        <v>6</v>
      </c>
      <c r="E85" t="str">
        <f ca="1">IF(ISNA(VLOOKUP(D85,OFFSET($A$2:$C$6,0,$B10),2,FALSE)),"",VLOOKUP(D85,OFFSET($A$2:$C$6,0,$B10),2,FALSE))</f>
        <v/>
      </c>
      <c r="F85" s="32" t="str">
        <f ca="1">IF(ISNA(VLOOKUP(D85,OFFSET($A$2:$C$6,0,$B10),3,FALSE)),"",VLOOKUP(D85,OFFSET($A$2:$C$6,0,$B10),3,FALSE))</f>
        <v/>
      </c>
    </row>
    <row r="86" spans="3:6" x14ac:dyDescent="0.25">
      <c r="C86" s="6">
        <f t="shared" ca="1" si="24"/>
        <v>1</v>
      </c>
      <c r="D86" s="6">
        <f>D85</f>
        <v>6</v>
      </c>
      <c r="E86" t="str">
        <f t="shared" ref="E86:E99" ca="1" si="25">IF(ISNA(VLOOKUP(D86,OFFSET($A$2:$C$6,0,$B11),2,FALSE)),"",VLOOKUP(D86,OFFSET($A$2:$C$6,0,$B11),2,FALSE))</f>
        <v/>
      </c>
      <c r="F86" s="32" t="str">
        <f t="shared" ref="F86:F99" ca="1" si="26">IF(ISNA(VLOOKUP(D86,OFFSET($A$2:$C$6,0,$B11),3,FALSE)),"",VLOOKUP(D86,OFFSET($A$2:$C$6,0,$B11),3,FALSE))</f>
        <v/>
      </c>
    </row>
    <row r="87" spans="3:6" x14ac:dyDescent="0.25">
      <c r="C87" s="6">
        <f t="shared" ca="1" si="24"/>
        <v>1</v>
      </c>
      <c r="D87" s="6">
        <f t="shared" ref="D87:D99" si="27">D86</f>
        <v>6</v>
      </c>
      <c r="E87" t="str">
        <f t="shared" ca="1" si="25"/>
        <v/>
      </c>
      <c r="F87" s="32" t="str">
        <f t="shared" ca="1" si="26"/>
        <v/>
      </c>
    </row>
    <row r="88" spans="3:6" x14ac:dyDescent="0.25">
      <c r="C88" s="6">
        <f t="shared" ca="1" si="24"/>
        <v>1</v>
      </c>
      <c r="D88" s="6">
        <f t="shared" si="27"/>
        <v>6</v>
      </c>
      <c r="E88" t="str">
        <f t="shared" ca="1" si="25"/>
        <v/>
      </c>
      <c r="F88" s="32" t="str">
        <f t="shared" ca="1" si="26"/>
        <v/>
      </c>
    </row>
    <row r="89" spans="3:6" x14ac:dyDescent="0.25">
      <c r="C89" s="6">
        <f t="shared" ca="1" si="24"/>
        <v>1</v>
      </c>
      <c r="D89" s="6">
        <f t="shared" si="27"/>
        <v>6</v>
      </c>
      <c r="E89" t="str">
        <f t="shared" ca="1" si="25"/>
        <v/>
      </c>
      <c r="F89" s="32" t="str">
        <f t="shared" ca="1" si="26"/>
        <v/>
      </c>
    </row>
    <row r="90" spans="3:6" x14ac:dyDescent="0.25">
      <c r="C90" s="6">
        <f t="shared" ca="1" si="24"/>
        <v>1</v>
      </c>
      <c r="D90" s="6">
        <f t="shared" si="27"/>
        <v>6</v>
      </c>
      <c r="E90" t="str">
        <f ca="1">IF(ISNA(VLOOKUP(D90,OFFSET($A$2:$C$6,0,$B15),2,FALSE)),"",VLOOKUP(D90,OFFSET($A$2:$C$6,0,$B15),2,FALSE))</f>
        <v/>
      </c>
      <c r="F90" s="32" t="str">
        <f t="shared" ca="1" si="26"/>
        <v/>
      </c>
    </row>
    <row r="91" spans="3:6" x14ac:dyDescent="0.25">
      <c r="C91" s="6">
        <f t="shared" ca="1" si="24"/>
        <v>1</v>
      </c>
      <c r="D91" s="6">
        <f t="shared" si="27"/>
        <v>6</v>
      </c>
      <c r="E91" t="str">
        <f t="shared" ca="1" si="25"/>
        <v/>
      </c>
      <c r="F91" s="32" t="str">
        <f t="shared" ca="1" si="26"/>
        <v/>
      </c>
    </row>
    <row r="92" spans="3:6" x14ac:dyDescent="0.25">
      <c r="C92" s="6">
        <f t="shared" ca="1" si="24"/>
        <v>1</v>
      </c>
      <c r="D92" s="6">
        <f t="shared" si="27"/>
        <v>6</v>
      </c>
      <c r="E92" t="str">
        <f t="shared" ca="1" si="25"/>
        <v/>
      </c>
      <c r="F92" s="32" t="str">
        <f t="shared" ca="1" si="26"/>
        <v/>
      </c>
    </row>
    <row r="93" spans="3:6" x14ac:dyDescent="0.25">
      <c r="C93" s="6">
        <f t="shared" ca="1" si="24"/>
        <v>1</v>
      </c>
      <c r="D93" s="6">
        <f t="shared" si="27"/>
        <v>6</v>
      </c>
      <c r="E93" t="str">
        <f t="shared" ca="1" si="25"/>
        <v/>
      </c>
      <c r="F93" s="32" t="str">
        <f t="shared" ca="1" si="26"/>
        <v/>
      </c>
    </row>
    <row r="94" spans="3:6" x14ac:dyDescent="0.25">
      <c r="C94" s="6">
        <f t="shared" ca="1" si="24"/>
        <v>1</v>
      </c>
      <c r="D94" s="6">
        <f t="shared" si="27"/>
        <v>6</v>
      </c>
      <c r="E94" t="str">
        <f t="shared" ca="1" si="25"/>
        <v/>
      </c>
      <c r="F94" s="32" t="str">
        <f t="shared" ca="1" si="26"/>
        <v/>
      </c>
    </row>
    <row r="95" spans="3:6" x14ac:dyDescent="0.25">
      <c r="C95" s="6">
        <f t="shared" ca="1" si="24"/>
        <v>1</v>
      </c>
      <c r="D95" s="6">
        <f t="shared" si="27"/>
        <v>6</v>
      </c>
      <c r="E95" t="str">
        <f t="shared" ca="1" si="25"/>
        <v/>
      </c>
      <c r="F95" s="32" t="str">
        <f t="shared" ca="1" si="26"/>
        <v/>
      </c>
    </row>
    <row r="96" spans="3:6" x14ac:dyDescent="0.25">
      <c r="C96" s="6">
        <f t="shared" ca="1" si="24"/>
        <v>1</v>
      </c>
      <c r="D96" s="6">
        <f t="shared" si="27"/>
        <v>6</v>
      </c>
      <c r="E96" t="str">
        <f t="shared" ca="1" si="25"/>
        <v/>
      </c>
      <c r="F96" s="32" t="str">
        <f t="shared" ca="1" si="26"/>
        <v/>
      </c>
    </row>
    <row r="97" spans="3:6" x14ac:dyDescent="0.25">
      <c r="C97" s="6">
        <f t="shared" ca="1" si="24"/>
        <v>1</v>
      </c>
      <c r="D97" s="6">
        <f t="shared" si="27"/>
        <v>6</v>
      </c>
      <c r="E97" t="str">
        <f t="shared" ca="1" si="25"/>
        <v/>
      </c>
      <c r="F97" s="32" t="str">
        <f t="shared" ca="1" si="26"/>
        <v/>
      </c>
    </row>
    <row r="98" spans="3:6" x14ac:dyDescent="0.25">
      <c r="C98" s="6">
        <f t="shared" ca="1" si="24"/>
        <v>1</v>
      </c>
      <c r="D98" s="6">
        <f t="shared" si="27"/>
        <v>6</v>
      </c>
      <c r="E98" t="str">
        <f t="shared" ca="1" si="25"/>
        <v/>
      </c>
      <c r="F98" s="32" t="str">
        <f t="shared" ca="1" si="26"/>
        <v/>
      </c>
    </row>
    <row r="99" spans="3:6" x14ac:dyDescent="0.25">
      <c r="C99" s="6">
        <f t="shared" ca="1" si="24"/>
        <v>1</v>
      </c>
      <c r="D99" s="6">
        <f t="shared" si="27"/>
        <v>6</v>
      </c>
      <c r="E99" t="str">
        <f t="shared" ca="1" si="25"/>
        <v/>
      </c>
      <c r="F99" s="32" t="str">
        <f t="shared" ca="1" si="26"/>
        <v/>
      </c>
    </row>
  </sheetData>
  <pageMargins left="0.7" right="0.7" top="0.75" bottom="0.75" header="0.3" footer="0.3"/>
  <pageSetup orientation="portrait" horizontalDpi="300" verticalDpi="300" r:id="rId1"/>
  <ignoredErrors>
    <ignoredError sqref="F3 I3:I4 L3 K4:K5 D25 D40 D55 D70 H4:H5 D85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A99"/>
  <sheetViews>
    <sheetView workbookViewId="0">
      <selection activeCell="C2" sqref="C2"/>
    </sheetView>
  </sheetViews>
  <sheetFormatPr defaultRowHeight="15" x14ac:dyDescent="0.25"/>
  <cols>
    <col min="2" max="3" width="22.5703125" bestFit="1" customWidth="1"/>
    <col min="5" max="5" width="22.5703125" bestFit="1" customWidth="1"/>
    <col min="6" max="6" width="18.140625" bestFit="1" customWidth="1"/>
    <col min="8" max="9" width="18.140625" bestFit="1" customWidth="1"/>
    <col min="11" max="11" width="11.85546875" bestFit="1" customWidth="1"/>
    <col min="12" max="12" width="16" bestFit="1" customWidth="1"/>
  </cols>
  <sheetData>
    <row r="1" spans="1:27" ht="15.75" thickBot="1" x14ac:dyDescent="0.3">
      <c r="A1" s="25" t="str">
        <f>Informacije!E11</f>
        <v/>
      </c>
      <c r="D1" s="29" t="e">
        <f>A1-1</f>
        <v>#VALUE!</v>
      </c>
      <c r="G1" s="25" t="e">
        <f>D1-1</f>
        <v>#VALUE!</v>
      </c>
      <c r="J1" s="29" t="e">
        <f>G1-1</f>
        <v>#VALUE!</v>
      </c>
      <c r="M1" s="25" t="e">
        <f>J1-1</f>
        <v>#VALUE!</v>
      </c>
      <c r="P1" s="43" t="e">
        <f>M1-1</f>
        <v>#VALUE!</v>
      </c>
      <c r="Q1" s="39"/>
      <c r="R1" s="39"/>
      <c r="S1" s="43" t="e">
        <f>P1-1</f>
        <v>#VALUE!</v>
      </c>
      <c r="T1" s="39"/>
      <c r="U1" s="39"/>
      <c r="V1" s="44" t="e">
        <f>S1-1</f>
        <v>#VALUE!</v>
      </c>
      <c r="Y1" s="45" t="e">
        <f>V1-1</f>
        <v>#VALUE!</v>
      </c>
    </row>
    <row r="2" spans="1:27" ht="15.75" thickBot="1" x14ac:dyDescent="0.3">
      <c r="A2" s="26">
        <v>1</v>
      </c>
      <c r="B2" s="37" t="str">
        <f>Timovi!E4 &amp; " " &amp; "("&amp;Timovi!F4&amp;")"</f>
        <v xml:space="preserve"> ()</v>
      </c>
      <c r="C2" s="37" t="str">
        <f>Timovi!E5 &amp; " " &amp; "("&amp;Timovi!F5&amp;")"</f>
        <v xml:space="preserve"> ()</v>
      </c>
      <c r="D2" s="29" t="e">
        <f>IF(E2&lt;&gt;"",IF(ISODD($A$1),IF(A2&lt;&gt;$A$1,A2+2,2),IF(A2&lt;&gt;$A$1-1,IF(E3="",IF(A3=$A$1-1,IF(A3=$A$1-2,1,2),A3+2),A2+2),IF(A2&lt;&gt;$A$1-2,2,1))),"")</f>
        <v>#VALUE!</v>
      </c>
      <c r="E2" s="48" t="e">
        <f>IF(AND(C2&lt;&gt;"",D1&lt;&gt;1),C2,"")</f>
        <v>#VALUE!</v>
      </c>
      <c r="F2" s="38" t="e">
        <f>IF(E2&lt;&gt;"",B3,"")</f>
        <v>#VALUE!</v>
      </c>
      <c r="G2" s="29" t="e">
        <f>IF(H2&lt;&gt;"",IF(ISODD($A$1),IF(D2&lt;&gt;$A$1,D2+2,2),IF(D2&lt;&gt;$A$1-1,IF(H3="",IF(D3=$A$1-1,IF(D3=$A$1-2,1,2),D3+2),D2+2),IF(D2&lt;&gt;$A$1-2,2,1))),"")</f>
        <v>#VALUE!</v>
      </c>
      <c r="H2" s="38" t="e">
        <f>IF(AND(F2&lt;&gt;"",G1&lt;&gt;1),F2,"")</f>
        <v>#VALUE!</v>
      </c>
      <c r="I2" s="38" t="e">
        <f>IF(H2&lt;&gt;"",E3,"")</f>
        <v>#VALUE!</v>
      </c>
      <c r="J2" s="34" t="e">
        <f>IF(K2&lt;&gt;"",IF(ISODD($A$1),IF(G2&lt;&gt;$A$1,G2+2,2),IF(G2&lt;&gt;$A$1-1,IF(K3="",IF(G3=$A$1-1,IF(G3=$A$1-2,1,2),G3+2),G2+2),IF(G2&lt;&gt;$A$1-2,2,1))),"")</f>
        <v>#VALUE!</v>
      </c>
      <c r="K2" s="38" t="e">
        <f>IF(AND(I2&lt;&gt;"",J1&lt;&gt;1),I2,"")</f>
        <v>#VALUE!</v>
      </c>
      <c r="L2" s="38" t="e">
        <f>IF(K2&lt;&gt;"",H3,"")</f>
        <v>#VALUE!</v>
      </c>
      <c r="M2" s="29" t="e">
        <f>IF(N2&lt;&gt;"",IF(ISODD($A$1),IF(J2&lt;&gt;$A$1,J2+2,2),IF(J2&lt;&gt;$A$1-1,IF(N3="",IF(J3=$A$1-1,IF(J3=$A$1-2,1,2),J3+2),J2+2),IF(J2&lt;&gt;$A$1-2,2,1))),"")</f>
        <v>#VALUE!</v>
      </c>
      <c r="N2" s="38" t="e">
        <f>IF(AND(L2&lt;&gt;"",M1&lt;&gt;1),L2,"")</f>
        <v>#VALUE!</v>
      </c>
      <c r="O2" s="38" t="e">
        <f>IF(N2&lt;&gt;"",K3,"")</f>
        <v>#VALUE!</v>
      </c>
      <c r="P2" s="29" t="b">
        <f>IF(AND(Informacije!$D$13="DA",Informacije!$D$7=6),IF(Q2&lt;&gt;"",IF(ISODD($A$1),IF(A2&lt;&gt;$A$1,A2+3,2),IF(A2&lt;&gt;$A$1-1,IF(E3="",IF(A3=$A$1-1,IF(A3=$A$1-2,1,2),A3+2),A2+2),IF(A2&lt;&gt;$A$1-2,2,1))),""))</f>
        <v>0</v>
      </c>
      <c r="Q2" s="40" t="e">
        <f>IF(AND(C2&lt;&gt;"",P1&lt;&gt;1),C2,"")</f>
        <v>#VALUE!</v>
      </c>
      <c r="R2" s="40" t="e">
        <f>IF(Q2&lt;&gt;"",B2,"")</f>
        <v>#VALUE!</v>
      </c>
      <c r="S2" s="29" t="b">
        <f>IF(AND(Informacije!$D$13="DA",Informacije!$D$7=6),IF(T2&lt;&gt;"",IF(ISODD($A$1),IF(P2&lt;&gt;$A$1,P2+2,2),IF(P2&lt;&gt;$A$1-1,IF(T3="",IF(P3=$A$1-1,IF(P3=$A$1-2,1,2),P3+2),P2+2),IF(P2&lt;&gt;$A$1-2,2,1))),""))</f>
        <v>0</v>
      </c>
      <c r="T2" t="e">
        <f>IF(AND(R2&lt;&gt;"",S1&lt;&gt;1),F2,"")</f>
        <v>#VALUE!</v>
      </c>
      <c r="U2" t="e">
        <f>IF(T2&lt;&gt;"",E2,"")</f>
        <v>#VALUE!</v>
      </c>
      <c r="V2" s="29" t="b">
        <f>IF(AND(Informacije!$D$13="DA",Informacije!$D$7=7),IF(W2&lt;&gt;"",IF(ISODD($A$1),IF(A2&lt;&gt;$A$1,A2+3,2),IF(A2&lt;&gt;$A$1-1,IF(E3="",IF(A3=$A$1-1,IF(A3=$A$1-2,1,2),A3+2),A2+2),IF(A2&lt;&gt;$A$1-2,2,1))),""))</f>
        <v>0</v>
      </c>
      <c r="W2" t="e">
        <f>IF(AND(C2&lt;&gt;"",V1&lt;&gt;1),C2,"")</f>
        <v>#VALUE!</v>
      </c>
      <c r="X2" t="e">
        <f>IF(W2&lt;&gt;"",B2,"")</f>
        <v>#VALUE!</v>
      </c>
      <c r="Y2" s="29" t="b">
        <f>IF(AND(Informacije!$D$13="DA",Informacije!$D$7=7),IF(Z2&lt;&gt;"",IF(ISODD($A$1),IF(V2&lt;&gt;$A$1,V2+2,2),IF(V2&lt;&gt;$A$1-1,IF(Z3="",IF(V3=$A$1-1,IF(V3=$A$1-2,1,2),V3+2),V2+2),IF(V2&lt;&gt;$A$1-2,2,1))),""))</f>
        <v>0</v>
      </c>
      <c r="Z2" t="e">
        <f>IF(AND(X2&lt;&gt;"",Y1&lt;&gt;1),F2,"")</f>
        <v>#VALUE!</v>
      </c>
      <c r="AA2" t="e">
        <f>IF(Z2&lt;&gt;"",E2,"")</f>
        <v>#VALUE!</v>
      </c>
    </row>
    <row r="3" spans="1:27" ht="15.75" thickBot="1" x14ac:dyDescent="0.3">
      <c r="A3" s="27" t="e">
        <f>IF(A2=$A$1-1,A2,A2+1)</f>
        <v>#VALUE!</v>
      </c>
      <c r="B3" s="37" t="e">
        <f>IF($A3=$A2,"",Timovi!E6 &amp; " " &amp; "("&amp;Timovi!F6&amp;")")</f>
        <v>#VALUE!</v>
      </c>
      <c r="C3" s="37" t="e">
        <f>IF($A3=$A2,"",B2)</f>
        <v>#VALUE!</v>
      </c>
      <c r="D3" s="30" t="e">
        <f>IF(E3&lt;&gt;"",IF(ISODD($A$1),IF(D2&lt;&gt;$A$1,D2+1,1),IF(ROW()=D$1,IF(A$6=$A$1-1,2,IF(A$6=$A$1-2,1,A$6+2)),IF(D2=$A$1-1,1,D2+1))),D2)</f>
        <v>#VALUE!</v>
      </c>
      <c r="E3" s="37" t="e">
        <f>IF(E2&lt;&gt;"",C4,"")</f>
        <v>#VALUE!</v>
      </c>
      <c r="F3" s="38" t="e">
        <f>IF($A3=D$1,"",E2)</f>
        <v>#VALUE!</v>
      </c>
      <c r="G3" s="30" t="e">
        <f>IF(H3&lt;&gt;"",IF(ISODD($A$1),IF(G2&lt;&gt;$A$1,G2+1,1),IF(ROW()=G$1,IF(D$6=$A$1-1,2,IF(D$6=$A$1-2,1,D$6+2)),IF(G2=$A$1-1,1,G2+1))),G2)</f>
        <v>#VALUE!</v>
      </c>
      <c r="H3" s="37" t="e">
        <f>IF(I3&lt;&gt;"",F4,"")</f>
        <v>#VALUE!</v>
      </c>
      <c r="I3" s="38" t="e">
        <f>IF($A3=G$1,"",H2)</f>
        <v>#VALUE!</v>
      </c>
      <c r="J3" s="35" t="e">
        <f>IF(K3&lt;&gt;"",IF(ISODD($A$1),IF(J2&lt;&gt;$A$1,J2+1,1),IF(ROW()=J$1,IF(G$6=$A$1-1,2,IF(G$6=$A$1-2,1,G$6+2)),IF(J2=$A$1-1,1,J2+1))),J2)</f>
        <v>#VALUE!</v>
      </c>
      <c r="K3" s="37" t="e">
        <f>IF(L3&lt;&gt;"",I4,"")</f>
        <v>#VALUE!</v>
      </c>
      <c r="L3" s="38" t="e">
        <f>IF($A3=J$1,"",K2)</f>
        <v>#VALUE!</v>
      </c>
      <c r="M3" s="30" t="e">
        <f>IF(N3&lt;&gt;"",IF(ISODD($A$1),IF(M2&lt;&gt;$A$1,M2+1,1),IF(ROW()=M$1,IF(J$6=$A$1-1,2,IF(J$6=$A$1-2,1,J$6+2)),IF(M2=$A$1-1,1,M2+1))),M2)</f>
        <v>#VALUE!</v>
      </c>
      <c r="N3" s="37" t="e">
        <f>IF($A3=M$1,"",N2)</f>
        <v>#VALUE!</v>
      </c>
      <c r="O3" s="38" t="e">
        <f t="shared" ref="O3:O6" si="0">IF(N3&lt;&gt;"",L4,"")</f>
        <v>#VALUE!</v>
      </c>
      <c r="P3" s="30" t="b">
        <f>IF(AND(Informacije!$D$13="DA",Informacije!$D$7=6),IF(Q3&lt;&gt;"",IF(ISODD($A$1),IF(A3&lt;&gt;$A$1,A3+3,2),IF(A3&lt;&gt;$A$1-1,IF(E4="",IF(A4=$A$1-1,IF(A4=$A$1-2,1,2),A4+2),A3+2),IF(A3&lt;&gt;$A$1-2,2,1))),""))</f>
        <v>0</v>
      </c>
      <c r="Q3" s="41" t="e">
        <f>IF($A3=P$1,"",R2)</f>
        <v>#VALUE!</v>
      </c>
      <c r="R3" s="41" t="e">
        <f>IF(R2&lt;&gt;"",B3,"")</f>
        <v>#VALUE!</v>
      </c>
      <c r="S3" s="30" t="b">
        <f>IF(AND(Informacije!$D$13="DA",Informacije!$D$7=6),IF(T3&lt;&gt;"",IF(ISODD($A$1),IF(P3&lt;&gt;$A$1,P3+2,2),IF(P3&lt;&gt;$A$1-1,IF(T4="",IF(P4=$A$1-1,IF(P4=$A$1-2,1,2),P4+2),P3+2),IF(P3&lt;&gt;$A$1-2,2,1))),""))</f>
        <v>0</v>
      </c>
      <c r="V3" s="29" t="b">
        <f>IF(AND(Informacije!$D$13="DA",Informacije!$D$7=7),IF(W3&lt;&gt;"",IF(ISODD($A$1),IF(A3&lt;&gt;$A$1,A3+3,2),IF(A3&lt;&gt;$A$1-1,IF(E4="",IF(A4=$A$1-1,IF(A4=$A$1-2,1,2),A4+2),A3+2),IF(A3&lt;&gt;$A$1-2,2,1))),""))</f>
        <v>0</v>
      </c>
      <c r="W3" t="e">
        <f>IF($A3=V$1,"",R2)</f>
        <v>#VALUE!</v>
      </c>
      <c r="X3" t="e">
        <f>IF(X2&lt;&gt;"",B3,"")</f>
        <v>#VALUE!</v>
      </c>
      <c r="Y3" s="29" t="b">
        <f>IF(AND(Informacije!$D$13="DA",Informacije!$D$7=7),IF(Z3&lt;&gt;"",IF(ISODD($A$1),IF(V3&lt;&gt;$A$1,V3+2,2),IF(V3&lt;&gt;$A$1-1,IF(Z4="",IF(V4=$A$1-1,IF(V4=$A$1-2,1,2),V4+2),V3+2),IF(V3&lt;&gt;$A$1-2,2,1))),""))</f>
        <v>0</v>
      </c>
    </row>
    <row r="4" spans="1:27" ht="15.75" thickBot="1" x14ac:dyDescent="0.3">
      <c r="A4" s="27" t="e">
        <f t="shared" ref="A4:A6" si="1">IF(A3=$A$1-1,A3,A3+1)</f>
        <v>#VALUE!</v>
      </c>
      <c r="B4" s="37" t="e">
        <f>IF($A4=$A3,"",C3)</f>
        <v>#VALUE!</v>
      </c>
      <c r="C4" s="37" t="e">
        <f>IF($A4=$A3,"",Timovi!E7 &amp; " " &amp; "("&amp;Timovi!F7&amp;")")</f>
        <v>#VALUE!</v>
      </c>
      <c r="D4" s="30" t="e">
        <f t="shared" ref="D4" si="2">IF(E4&lt;&gt;"",IF(ISODD($A$1),IF(D3&lt;&gt;$A$1,D3+1,1),IF(ROW()=D$1,IF(A$6=$A$1-1,2,IF(A$6=$A$1-2,1,A$6+2)),IF(D3=$A$1-1,1,D3+1))),D3)</f>
        <v>#VALUE!</v>
      </c>
      <c r="E4" s="48" t="e">
        <f>IF($A4=D$1,"",F3)</f>
        <v>#VALUE!</v>
      </c>
      <c r="F4" s="38" t="e">
        <f>IF(E4&lt;&gt;"",B5,"")</f>
        <v>#VALUE!</v>
      </c>
      <c r="G4" s="30" t="e">
        <f t="shared" ref="G4:G6" si="3">IF(H4&lt;&gt;"",IF(ISODD($A$1),IF(G3&lt;&gt;$A$1,G3+1,1),IF(ROW()=G$1,IF(D$6=$A$1-1,2,IF(D$6=$A$1-2,1,D$6+2)),IF(G3=$A$1-1,1,G3+1))),G3)</f>
        <v>#VALUE!</v>
      </c>
      <c r="H4" s="37" t="e">
        <f>IF($A4=G$1,"",I3)</f>
        <v>#VALUE!</v>
      </c>
      <c r="I4" s="38" t="e">
        <f>IF(H4&lt;&gt;"",E5,"")</f>
        <v>#VALUE!</v>
      </c>
      <c r="J4" s="35" t="e">
        <f t="shared" ref="J4:J6" si="4">IF(K4&lt;&gt;"",IF(ISODD($A$1),IF(J3&lt;&gt;$A$1,J3+1,1),IF(ROW()=J$1,IF(G$6=$A$1-1,2,IF(G$6=$A$1-2,1,G$6+2)),IF(J3=$A$1-1,1,J3+1))),J3)</f>
        <v>#VALUE!</v>
      </c>
      <c r="K4" s="37" t="e">
        <f>IF($A4=J$1,"",L3)</f>
        <v>#VALUE!</v>
      </c>
      <c r="L4" s="38" t="e">
        <f>IF(K4&lt;&gt;"",H5,"")</f>
        <v>#VALUE!</v>
      </c>
      <c r="M4" s="30" t="e">
        <f t="shared" ref="M4:M6" si="5">IF(N4&lt;&gt;"",IF(ISODD($A$1),IF(M3&lt;&gt;$A$1,M3+1,1),IF(ROW()=M$1,IF(J$6=$A$1-1,2,IF(J$6=$A$1-2,1,J$6+2)),IF(M3=$A$1-1,1,M3+1))),M3)</f>
        <v>#VALUE!</v>
      </c>
      <c r="N4" s="37" t="e">
        <f t="shared" ref="N4:N6" si="6">IF($A4=M$1,"",N3)</f>
        <v>#VALUE!</v>
      </c>
      <c r="O4" s="38" t="e">
        <f t="shared" si="0"/>
        <v>#VALUE!</v>
      </c>
      <c r="P4" s="30" t="b">
        <f>IF(AND(Informacije!$D$13="DA",Informacije!$D$7=6),IF(Q4&lt;&gt;"",IF(ISODD($A$1),IF(A4&lt;&gt;$A$1,A4+3,2),IF(A4&lt;&gt;$A$1-1,IF(E5="",IF(A5=$A$1-1,IF(A5=$A$1-2,1,2),A5+2),A4+2),IF(A4&lt;&gt;$A$1-2,2,1))),""))</f>
        <v>0</v>
      </c>
      <c r="Q4" s="42"/>
      <c r="R4" s="40"/>
      <c r="S4" s="30" t="b">
        <f>IF(AND(Informacije!$D$13="DA",Informacije!$D$7=6),IF(T4&lt;&gt;"",IF(ISODD($A$1),IF(P4&lt;&gt;$A$1,P4+2,2),IF(P4&lt;&gt;$A$1-1,IF(T5="",IF(P5=$A$1-1,IF(P5=$A$1-2,1,2),P5+2),P4+2),IF(P4&lt;&gt;$A$1-2,2,1))),""))</f>
        <v>0</v>
      </c>
      <c r="V4" s="29" t="b">
        <f>IF(AND(Informacije!$D$13="DA",Informacije!$D$7=7),IF(W4&lt;&gt;"",IF(ISODD($A$1),IF(A4&lt;&gt;$A$1,A4+3,2),IF(A4&lt;&gt;$A$1-1,IF(E5="",IF(A5=$A$1-1,IF(A5=$A$1-2,1,2),A5+2),A4+2),IF(A4&lt;&gt;$A$1-2,2,1))),""))</f>
        <v>0</v>
      </c>
      <c r="Y4" s="29" t="b">
        <f>IF(AND(Informacije!$D$13="DA",Informacije!$D$7=7),IF(Z4&lt;&gt;"",IF(ISODD($A$1),IF(V4&lt;&gt;$A$1,V4+2,2),IF(V4&lt;&gt;$A$1-1,IF(Z5="",IF(V5=$A$1-1,IF(V5=$A$1-2,1,2),V5+2),V4+2),IF(V4&lt;&gt;$A$1-2,2,1))),""))</f>
        <v>0</v>
      </c>
    </row>
    <row r="5" spans="1:27" ht="15.75" thickBot="1" x14ac:dyDescent="0.3">
      <c r="A5" s="27" t="e">
        <f t="shared" si="1"/>
        <v>#VALUE!</v>
      </c>
      <c r="B5" s="37" t="e">
        <f>IF($A5=$A4,"",Timovi!E8 &amp; " " &amp; "("&amp;Timovi!F8&amp;")")</f>
        <v>#VALUE!</v>
      </c>
      <c r="C5" s="37" t="e">
        <f>IF($A5=$A4,"",B4)</f>
        <v>#VALUE!</v>
      </c>
      <c r="D5" s="30" t="e">
        <f>IF(E5&lt;&gt;"",IF(ISODD($A$1),IF(D4&lt;&gt;$A$1,D4+1,1),IF(ROW()=D$1,IF(A$6=$A$1-1,2,IF(A$6=$A$1-2,1,A$6+2)),IF(D4=$A$1-1,1,D4+1))),D4)</f>
        <v>#VALUE!</v>
      </c>
      <c r="E5" s="37" t="e">
        <f>IF(E2&lt;&gt;"",C6,"")</f>
        <v>#VALUE!</v>
      </c>
      <c r="F5" s="38" t="e">
        <f>IF($A5=D$1,"",E4)</f>
        <v>#VALUE!</v>
      </c>
      <c r="G5" s="30" t="e">
        <f t="shared" si="3"/>
        <v>#VALUE!</v>
      </c>
      <c r="H5" s="37" t="e">
        <f>IF(I5&lt;&gt;"",F6,"")</f>
        <v>#VALUE!</v>
      </c>
      <c r="I5" s="38" t="e">
        <f>IF($A5=G$1,"",H4)</f>
        <v>#VALUE!</v>
      </c>
      <c r="J5" s="35" t="e">
        <f t="shared" si="4"/>
        <v>#VALUE!</v>
      </c>
      <c r="K5" s="37" t="e">
        <f>IF(L5&lt;&gt;"",I6,"")</f>
        <v>#VALUE!</v>
      </c>
      <c r="L5" s="38" t="e">
        <f>IF($A3=J$1,"",K4)</f>
        <v>#VALUE!</v>
      </c>
      <c r="M5" s="30" t="e">
        <f t="shared" si="5"/>
        <v>#VALUE!</v>
      </c>
      <c r="N5" s="37" t="e">
        <f t="shared" si="6"/>
        <v>#VALUE!</v>
      </c>
      <c r="O5" s="38" t="e">
        <f t="shared" si="0"/>
        <v>#VALUE!</v>
      </c>
      <c r="P5" s="30" t="b">
        <f>IF(AND(Informacije!$D$13="DA",Informacije!$D$7=6),IF(Q5&lt;&gt;"",IF(ISODD($A$1),IF(A5&lt;&gt;$A$1,A5+3,2),IF(A5&lt;&gt;$A$1-1,IF(E6="",IF(A6=$A$1-1,IF(A6=$A$1-2,1,2),A6+2),A5+2),IF(A5&lt;&gt;$A$1-2,2,1))),""))</f>
        <v>0</v>
      </c>
      <c r="Q5" s="41"/>
      <c r="R5" s="41"/>
      <c r="S5" s="30" t="b">
        <f>IF(AND(Informacije!$D$13="DA",Informacije!$D$7=6),IF(T5&lt;&gt;"",IF(ISODD($A$1),IF(P5&lt;&gt;$A$1,P5+2,2),IF(P5&lt;&gt;$A$1-1,IF(T6="",IF(P6=$A$1-1,IF(P6=$A$1-2,1,2),P6+2),P5+2),IF(P5&lt;&gt;$A$1-2,2,1))),""))</f>
        <v>0</v>
      </c>
      <c r="V5" s="29" t="b">
        <f>IF(AND(Informacije!$D$13="DA",Informacije!$D$7=7),IF(W5&lt;&gt;"",IF(ISODD($A$1),IF(A5&lt;&gt;$A$1,A5+3,2),IF(A5&lt;&gt;$A$1-1,IF(E6="",IF(A6=$A$1-1,IF(A6=$A$1-2,1,2),A6+2),A5+2),IF(A5&lt;&gt;$A$1-2,2,1))),""))</f>
        <v>0</v>
      </c>
      <c r="Y5" s="29" t="b">
        <f>IF(AND(Informacije!$D$13="DA",Informacije!$D$7=7),IF(Z5&lt;&gt;"",IF(ISODD($A$1),IF(V5&lt;&gt;$A$1,V5+2,2),IF(V5&lt;&gt;$A$1-1,IF(Z6="",IF(V6=$A$1-1,IF(V6=$A$1-2,1,2),V6+2),V5+2),IF(V5&lt;&gt;$A$1-2,2,1))),""))</f>
        <v>0</v>
      </c>
    </row>
    <row r="6" spans="1:27" ht="15.75" thickBot="1" x14ac:dyDescent="0.3">
      <c r="A6" s="28" t="e">
        <f t="shared" si="1"/>
        <v>#VALUE!</v>
      </c>
      <c r="B6" s="37" t="e">
        <f>IF($A6=$A5,"",C5)</f>
        <v>#VALUE!</v>
      </c>
      <c r="C6" s="37" t="e">
        <f>IF($A6=$A5,"",Draw!#REF!)</f>
        <v>#VALUE!</v>
      </c>
      <c r="D6" s="31" t="e">
        <f>IF(E6&lt;&gt;"",IF(ISODD($A$1),IF(D5&lt;&gt;$A$1,D5+1,1),IF(ROW()=D$1,IF(A$6=$A$1-1,2,IF(A$6=$A$1-2,1,A$6+2)),IF(D5=$A$1-1,1,D5+1))),D5)</f>
        <v>#VALUE!</v>
      </c>
      <c r="E6" s="37" t="e">
        <f>IF($A6=D$1,"",F5)</f>
        <v>#VALUE!</v>
      </c>
      <c r="F6" s="38" t="e">
        <f>IF(E6&lt;&gt;"",C7,"")</f>
        <v>#VALUE!</v>
      </c>
      <c r="G6" s="31" t="e">
        <f t="shared" si="3"/>
        <v>#VALUE!</v>
      </c>
      <c r="H6" s="37" t="e">
        <f>IF($A6=G$1,"",I5)</f>
        <v>#VALUE!</v>
      </c>
      <c r="I6" s="48" t="e">
        <f>IF(H6&lt;&gt;"",F7,"")</f>
        <v>#VALUE!</v>
      </c>
      <c r="J6" s="36" t="e">
        <f t="shared" si="4"/>
        <v>#VALUE!</v>
      </c>
      <c r="K6" s="37" t="e">
        <f>IF($A6=J$1,"",L5)</f>
        <v>#VALUE!</v>
      </c>
      <c r="L6" s="38" t="e">
        <f>IF(K6&lt;&gt;"",I7,"")</f>
        <v>#VALUE!</v>
      </c>
      <c r="M6" s="31" t="e">
        <f t="shared" si="5"/>
        <v>#VALUE!</v>
      </c>
      <c r="N6" s="37" t="e">
        <f t="shared" si="6"/>
        <v>#VALUE!</v>
      </c>
      <c r="O6" s="38" t="e">
        <f t="shared" si="0"/>
        <v>#VALUE!</v>
      </c>
      <c r="P6" s="31" t="b">
        <f>IF(AND(Informacije!$D$13="DA",Informacije!$D$7=6),IF(Q6&lt;&gt;"",IF(ISODD($A$1),IF(A6&lt;&gt;$A$1,A6+3,2),IF(A6&lt;&gt;$A$1-1,IF(E7="",IF(A7=$A$1-1,IF(A7=$A$1-2,1,2),A7+2),A6+2),IF(A6&lt;&gt;$A$1-2,2,1))),""))</f>
        <v>0</v>
      </c>
      <c r="Q6" s="42"/>
      <c r="R6" s="40"/>
      <c r="S6" s="31" t="b">
        <f>IF(AND(Informacije!$D$13="DA",Informacije!$D$7=6),IF(T6&lt;&gt;"",IF(ISODD($A$1),IF(P6&lt;&gt;$A$1,P6+2,2),IF(P6&lt;&gt;$A$1-1,IF(T7="",IF(P7=$A$1-1,IF(P7=$A$1-2,1,2),P7+2),P6+2),IF(P6&lt;&gt;$A$1-2,2,1))),""))</f>
        <v>0</v>
      </c>
      <c r="V6" s="29" t="b">
        <f>IF(AND(Informacije!$D$13="DA",Informacije!$D$7=7),IF(W6&lt;&gt;"",IF(ISODD($A$1),IF(A6&lt;&gt;$A$1,A6+3,2),IF(A6&lt;&gt;$A$1-1,IF(E7="",IF(A7=$A$1-1,IF(A7=$A$1-2,1,2),A7+2),A6+2),IF(A6&lt;&gt;$A$1-2,2,1))),""))</f>
        <v>0</v>
      </c>
      <c r="Y6" s="29" t="b">
        <f>IF(AND(Informacije!$D$13="DA",Informacije!$D$7=7),IF(Z6&lt;&gt;"",IF(ISODD($A$1),IF(V6&lt;&gt;$A$1,V6+2,2),IF(V6&lt;&gt;$A$1-1,IF(Z7="",IF(V7=$A$1-1,IF(V7=$A$1-2,1,2),V7+2),V6+2),IF(V6&lt;&gt;$A$1-2,2,1))),""))</f>
        <v>0</v>
      </c>
    </row>
    <row r="7" spans="1:27" x14ac:dyDescent="0.25">
      <c r="A7" s="6"/>
      <c r="E7" s="4"/>
      <c r="P7" s="4"/>
      <c r="S7" s="4"/>
    </row>
    <row r="8" spans="1:27" x14ac:dyDescent="0.25">
      <c r="A8" s="6"/>
      <c r="E8" s="33"/>
      <c r="F8" s="32"/>
    </row>
    <row r="9" spans="1:27" x14ac:dyDescent="0.25">
      <c r="A9" s="6"/>
      <c r="B9" s="7"/>
      <c r="F9" s="32"/>
    </row>
    <row r="10" spans="1:27" x14ac:dyDescent="0.25">
      <c r="A10" s="6">
        <v>1</v>
      </c>
      <c r="B10" s="6">
        <v>0</v>
      </c>
      <c r="C10" s="6">
        <v>1</v>
      </c>
      <c r="D10" s="6">
        <v>1</v>
      </c>
      <c r="E10" t="str">
        <f ca="1">IF(ISNA(VLOOKUP(D10,OFFSET($A$2:$C$6,0,$B10),2,FALSE)),"",VLOOKUP(D10,OFFSET($A$2:$C$6,0,$B10),2,FALSE))</f>
        <v xml:space="preserve"> ()</v>
      </c>
      <c r="F10" s="32" t="str">
        <f ca="1">IF(ISNA(VLOOKUP(D10,OFFSET($A$2:$C$6,0,$B10),3,FALSE)),"",VLOOKUP(D10,OFFSET($A$2:$C$6,0,$B10),3,FALSE))</f>
        <v xml:space="preserve"> ()</v>
      </c>
    </row>
    <row r="11" spans="1:27" x14ac:dyDescent="0.25">
      <c r="A11" s="6">
        <v>2</v>
      </c>
      <c r="B11" s="6">
        <f>B10+3</f>
        <v>3</v>
      </c>
      <c r="C11" s="6">
        <f ca="1">IF(OR(F11="",ISNA(F11)),C10,C10+1)</f>
        <v>1</v>
      </c>
      <c r="D11" s="6">
        <f>D10</f>
        <v>1</v>
      </c>
      <c r="E11" t="str">
        <f t="shared" ref="E11:E24" ca="1" si="7">IF(ISNA(VLOOKUP(D11,OFFSET($A$2:$C$6,0,$B11),2,FALSE)),"",VLOOKUP(D11,OFFSET($A$2:$C$6,0,$B11),2,FALSE))</f>
        <v/>
      </c>
      <c r="F11" s="32" t="str">
        <f t="shared" ref="F11:F24" ca="1" si="8">IF(ISNA(VLOOKUP(D11,OFFSET($A$2:$C$6,0,$B11),3,FALSE)),"",VLOOKUP(D11,OFFSET($A$2:$C$6,0,$B11),3,FALSE))</f>
        <v/>
      </c>
    </row>
    <row r="12" spans="1:27" x14ac:dyDescent="0.25">
      <c r="A12" s="6">
        <v>3</v>
      </c>
      <c r="B12" s="6">
        <f t="shared" ref="B12:B24" si="9">B11+3</f>
        <v>6</v>
      </c>
      <c r="C12" s="6">
        <f ca="1">IF(E12="",C11,C11+1)</f>
        <v>1</v>
      </c>
      <c r="D12" s="6">
        <f t="shared" ref="D12:D24" si="10">D11</f>
        <v>1</v>
      </c>
      <c r="E12" t="str">
        <f t="shared" ca="1" si="7"/>
        <v/>
      </c>
      <c r="F12" s="32" t="str">
        <f t="shared" ca="1" si="8"/>
        <v/>
      </c>
    </row>
    <row r="13" spans="1:27" x14ac:dyDescent="0.25">
      <c r="A13" s="6">
        <v>4</v>
      </c>
      <c r="B13" s="6">
        <f t="shared" si="9"/>
        <v>9</v>
      </c>
      <c r="C13" s="6">
        <f t="shared" ref="C13:C76" ca="1" si="11">IF(E13="",C12,C12+1)</f>
        <v>1</v>
      </c>
      <c r="D13" s="6">
        <f t="shared" si="10"/>
        <v>1</v>
      </c>
      <c r="E13" t="str">
        <f t="shared" ca="1" si="7"/>
        <v/>
      </c>
      <c r="F13" s="32" t="str">
        <f t="shared" ca="1" si="8"/>
        <v/>
      </c>
    </row>
    <row r="14" spans="1:27" x14ac:dyDescent="0.25">
      <c r="A14" s="6">
        <v>5</v>
      </c>
      <c r="B14" s="6">
        <f t="shared" si="9"/>
        <v>12</v>
      </c>
      <c r="C14" s="6">
        <f t="shared" ca="1" si="11"/>
        <v>1</v>
      </c>
      <c r="D14" s="6">
        <f t="shared" si="10"/>
        <v>1</v>
      </c>
      <c r="E14" t="str">
        <f t="shared" ca="1" si="7"/>
        <v/>
      </c>
      <c r="F14" s="32" t="str">
        <f t="shared" ca="1" si="8"/>
        <v/>
      </c>
    </row>
    <row r="15" spans="1:27" x14ac:dyDescent="0.25">
      <c r="A15" s="6">
        <v>6</v>
      </c>
      <c r="B15" s="6">
        <f t="shared" si="9"/>
        <v>15</v>
      </c>
      <c r="C15" s="6">
        <f t="shared" ca="1" si="11"/>
        <v>1</v>
      </c>
      <c r="D15" s="6">
        <f t="shared" si="10"/>
        <v>1</v>
      </c>
      <c r="E15" t="str">
        <f t="shared" ca="1" si="7"/>
        <v/>
      </c>
      <c r="F15" s="32" t="str">
        <f t="shared" ca="1" si="8"/>
        <v/>
      </c>
    </row>
    <row r="16" spans="1:27" x14ac:dyDescent="0.25">
      <c r="A16" s="6">
        <v>7</v>
      </c>
      <c r="B16" s="6">
        <f t="shared" si="9"/>
        <v>18</v>
      </c>
      <c r="C16" s="6">
        <f t="shared" ca="1" si="11"/>
        <v>1</v>
      </c>
      <c r="D16" s="6">
        <f t="shared" si="10"/>
        <v>1</v>
      </c>
      <c r="E16" t="str">
        <f t="shared" ca="1" si="7"/>
        <v/>
      </c>
      <c r="F16" s="32" t="str">
        <f t="shared" ca="1" si="8"/>
        <v/>
      </c>
    </row>
    <row r="17" spans="1:6" x14ac:dyDescent="0.25">
      <c r="A17" s="6">
        <v>8</v>
      </c>
      <c r="B17" s="6">
        <f t="shared" si="9"/>
        <v>21</v>
      </c>
      <c r="C17" s="6">
        <f t="shared" ca="1" si="11"/>
        <v>1</v>
      </c>
      <c r="D17" s="6">
        <f t="shared" si="10"/>
        <v>1</v>
      </c>
      <c r="E17" t="str">
        <f t="shared" ca="1" si="7"/>
        <v/>
      </c>
      <c r="F17" s="32" t="str">
        <f t="shared" ca="1" si="8"/>
        <v/>
      </c>
    </row>
    <row r="18" spans="1:6" x14ac:dyDescent="0.25">
      <c r="A18" s="6">
        <v>9</v>
      </c>
      <c r="B18" s="6">
        <f t="shared" si="9"/>
        <v>24</v>
      </c>
      <c r="C18" s="6">
        <f t="shared" ca="1" si="11"/>
        <v>1</v>
      </c>
      <c r="D18" s="6">
        <f t="shared" si="10"/>
        <v>1</v>
      </c>
      <c r="E18" t="str">
        <f t="shared" ca="1" si="7"/>
        <v/>
      </c>
      <c r="F18" s="32" t="str">
        <f t="shared" ca="1" si="8"/>
        <v/>
      </c>
    </row>
    <row r="19" spans="1:6" x14ac:dyDescent="0.25">
      <c r="A19" s="6">
        <v>10</v>
      </c>
      <c r="B19" s="6">
        <f t="shared" si="9"/>
        <v>27</v>
      </c>
      <c r="C19" s="6">
        <f t="shared" ca="1" si="11"/>
        <v>1</v>
      </c>
      <c r="D19" s="6">
        <f t="shared" si="10"/>
        <v>1</v>
      </c>
      <c r="E19" t="str">
        <f t="shared" ca="1" si="7"/>
        <v/>
      </c>
      <c r="F19" s="32" t="str">
        <f t="shared" ca="1" si="8"/>
        <v/>
      </c>
    </row>
    <row r="20" spans="1:6" x14ac:dyDescent="0.25">
      <c r="A20" s="6">
        <v>11</v>
      </c>
      <c r="B20" s="6">
        <f t="shared" si="9"/>
        <v>30</v>
      </c>
      <c r="C20" s="6">
        <f t="shared" ca="1" si="11"/>
        <v>1</v>
      </c>
      <c r="D20" s="6">
        <f t="shared" si="10"/>
        <v>1</v>
      </c>
      <c r="E20" t="str">
        <f t="shared" ca="1" si="7"/>
        <v/>
      </c>
      <c r="F20" s="32" t="str">
        <f t="shared" ca="1" si="8"/>
        <v/>
      </c>
    </row>
    <row r="21" spans="1:6" x14ac:dyDescent="0.25">
      <c r="A21" s="6">
        <v>12</v>
      </c>
      <c r="B21" s="6">
        <f t="shared" si="9"/>
        <v>33</v>
      </c>
      <c r="C21" s="6">
        <f t="shared" ca="1" si="11"/>
        <v>1</v>
      </c>
      <c r="D21" s="6">
        <f t="shared" si="10"/>
        <v>1</v>
      </c>
      <c r="E21" t="str">
        <f t="shared" ca="1" si="7"/>
        <v/>
      </c>
      <c r="F21" s="32" t="str">
        <f t="shared" ca="1" si="8"/>
        <v/>
      </c>
    </row>
    <row r="22" spans="1:6" x14ac:dyDescent="0.25">
      <c r="A22" s="6">
        <v>13</v>
      </c>
      <c r="B22" s="6">
        <f t="shared" si="9"/>
        <v>36</v>
      </c>
      <c r="C22" s="6">
        <f t="shared" ca="1" si="11"/>
        <v>1</v>
      </c>
      <c r="D22" s="6">
        <f t="shared" si="10"/>
        <v>1</v>
      </c>
      <c r="E22" t="str">
        <f t="shared" ca="1" si="7"/>
        <v/>
      </c>
      <c r="F22" s="32" t="str">
        <f t="shared" ca="1" si="8"/>
        <v/>
      </c>
    </row>
    <row r="23" spans="1:6" x14ac:dyDescent="0.25">
      <c r="A23" s="6">
        <v>14</v>
      </c>
      <c r="B23" s="6">
        <f t="shared" si="9"/>
        <v>39</v>
      </c>
      <c r="C23" s="6">
        <f t="shared" ca="1" si="11"/>
        <v>1</v>
      </c>
      <c r="D23" s="6">
        <f t="shared" si="10"/>
        <v>1</v>
      </c>
      <c r="E23" t="str">
        <f t="shared" ca="1" si="7"/>
        <v/>
      </c>
      <c r="F23" s="32" t="str">
        <f t="shared" ca="1" si="8"/>
        <v/>
      </c>
    </row>
    <row r="24" spans="1:6" x14ac:dyDescent="0.25">
      <c r="A24" s="6">
        <v>15</v>
      </c>
      <c r="B24" s="6">
        <f t="shared" si="9"/>
        <v>42</v>
      </c>
      <c r="C24" s="6">
        <f t="shared" ca="1" si="11"/>
        <v>1</v>
      </c>
      <c r="D24" s="6">
        <f t="shared" si="10"/>
        <v>1</v>
      </c>
      <c r="E24" t="str">
        <f t="shared" ca="1" si="7"/>
        <v/>
      </c>
      <c r="F24" s="32" t="str">
        <f t="shared" ca="1" si="8"/>
        <v/>
      </c>
    </row>
    <row r="25" spans="1:6" x14ac:dyDescent="0.25">
      <c r="C25" s="6">
        <f t="shared" ca="1" si="11"/>
        <v>1</v>
      </c>
      <c r="D25" s="6">
        <f>D24+1</f>
        <v>2</v>
      </c>
      <c r="E25" t="str">
        <f ca="1">IF(ISNA(VLOOKUP(D25,OFFSET($A$2:$C$6,0,$B10),2,FALSE)),"",VLOOKUP(D25,OFFSET($A$2:$C$6,0,$B10),2,FALSE))</f>
        <v/>
      </c>
      <c r="F25" s="32" t="str">
        <f ca="1">IF(ISNA(VLOOKUP(D25,OFFSET($A$2:$C$6,0,$B10),3,FALSE)),"",VLOOKUP(D25,OFFSET($A$2:$C$6,0,$B10),3,FALSE))</f>
        <v/>
      </c>
    </row>
    <row r="26" spans="1:6" x14ac:dyDescent="0.25">
      <c r="C26" s="6">
        <f t="shared" ca="1" si="11"/>
        <v>1</v>
      </c>
      <c r="D26" s="6">
        <f>D25</f>
        <v>2</v>
      </c>
      <c r="E26" t="str">
        <f t="shared" ref="E26:E39" ca="1" si="12">IF(ISNA(VLOOKUP(D26,OFFSET($A$2:$C$6,0,$B11),2,FALSE)),"",VLOOKUP(D26,OFFSET($A$2:$C$6,0,$B11),2,FALSE))</f>
        <v/>
      </c>
      <c r="F26" s="32" t="str">
        <f t="shared" ref="F26:F39" ca="1" si="13">IF(ISNA(VLOOKUP(D26,OFFSET($A$2:$C$6,0,$B11),3,FALSE)),"",VLOOKUP(D26,OFFSET($A$2:$C$6,0,$B11),3,FALSE))</f>
        <v/>
      </c>
    </row>
    <row r="27" spans="1:6" x14ac:dyDescent="0.25">
      <c r="C27" s="6">
        <f t="shared" ca="1" si="11"/>
        <v>1</v>
      </c>
      <c r="D27" s="6">
        <f t="shared" ref="D27:D39" si="14">D26</f>
        <v>2</v>
      </c>
      <c r="E27" t="str">
        <f t="shared" ca="1" si="12"/>
        <v/>
      </c>
      <c r="F27" s="32" t="str">
        <f t="shared" ca="1" si="13"/>
        <v/>
      </c>
    </row>
    <row r="28" spans="1:6" x14ac:dyDescent="0.25">
      <c r="C28" s="6">
        <f t="shared" ca="1" si="11"/>
        <v>1</v>
      </c>
      <c r="D28" s="6">
        <f t="shared" si="14"/>
        <v>2</v>
      </c>
      <c r="E28" t="str">
        <f t="shared" ca="1" si="12"/>
        <v/>
      </c>
      <c r="F28" s="32" t="str">
        <f t="shared" ca="1" si="13"/>
        <v/>
      </c>
    </row>
    <row r="29" spans="1:6" x14ac:dyDescent="0.25">
      <c r="C29" s="6">
        <f t="shared" ca="1" si="11"/>
        <v>1</v>
      </c>
      <c r="D29" s="6">
        <f t="shared" si="14"/>
        <v>2</v>
      </c>
      <c r="E29" t="str">
        <f t="shared" ca="1" si="12"/>
        <v/>
      </c>
      <c r="F29" s="32" t="str">
        <f t="shared" ca="1" si="13"/>
        <v/>
      </c>
    </row>
    <row r="30" spans="1:6" x14ac:dyDescent="0.25">
      <c r="C30" s="6">
        <f t="shared" ca="1" si="11"/>
        <v>1</v>
      </c>
      <c r="D30" s="6">
        <f t="shared" si="14"/>
        <v>2</v>
      </c>
      <c r="E30" t="str">
        <f t="shared" ca="1" si="12"/>
        <v/>
      </c>
      <c r="F30" s="32" t="str">
        <f t="shared" ca="1" si="13"/>
        <v/>
      </c>
    </row>
    <row r="31" spans="1:6" x14ac:dyDescent="0.25">
      <c r="C31" s="6">
        <f t="shared" ca="1" si="11"/>
        <v>1</v>
      </c>
      <c r="D31" s="6">
        <f t="shared" si="14"/>
        <v>2</v>
      </c>
      <c r="E31" t="str">
        <f t="shared" ca="1" si="12"/>
        <v/>
      </c>
      <c r="F31" s="32" t="str">
        <f t="shared" ca="1" si="13"/>
        <v/>
      </c>
    </row>
    <row r="32" spans="1:6" x14ac:dyDescent="0.25">
      <c r="C32" s="6">
        <f t="shared" ca="1" si="11"/>
        <v>1</v>
      </c>
      <c r="D32" s="6">
        <f t="shared" si="14"/>
        <v>2</v>
      </c>
      <c r="E32" t="str">
        <f t="shared" ca="1" si="12"/>
        <v/>
      </c>
      <c r="F32" s="32" t="str">
        <f t="shared" ca="1" si="13"/>
        <v/>
      </c>
    </row>
    <row r="33" spans="3:6" x14ac:dyDescent="0.25">
      <c r="C33" s="6">
        <f t="shared" ca="1" si="11"/>
        <v>1</v>
      </c>
      <c r="D33" s="6">
        <f t="shared" si="14"/>
        <v>2</v>
      </c>
      <c r="E33" t="str">
        <f t="shared" ca="1" si="12"/>
        <v/>
      </c>
      <c r="F33" s="32" t="str">
        <f t="shared" ca="1" si="13"/>
        <v/>
      </c>
    </row>
    <row r="34" spans="3:6" x14ac:dyDescent="0.25">
      <c r="C34" s="6">
        <f t="shared" ca="1" si="11"/>
        <v>1</v>
      </c>
      <c r="D34" s="6">
        <f t="shared" si="14"/>
        <v>2</v>
      </c>
      <c r="E34" t="str">
        <f t="shared" ca="1" si="12"/>
        <v/>
      </c>
      <c r="F34" s="32" t="str">
        <f t="shared" ca="1" si="13"/>
        <v/>
      </c>
    </row>
    <row r="35" spans="3:6" x14ac:dyDescent="0.25">
      <c r="C35" s="6">
        <f t="shared" ca="1" si="11"/>
        <v>1</v>
      </c>
      <c r="D35" s="6">
        <f t="shared" si="14"/>
        <v>2</v>
      </c>
      <c r="E35" t="str">
        <f t="shared" ca="1" si="12"/>
        <v/>
      </c>
      <c r="F35" s="32" t="str">
        <f t="shared" ca="1" si="13"/>
        <v/>
      </c>
    </row>
    <row r="36" spans="3:6" x14ac:dyDescent="0.25">
      <c r="C36" s="6">
        <f t="shared" ca="1" si="11"/>
        <v>1</v>
      </c>
      <c r="D36" s="6">
        <f t="shared" si="14"/>
        <v>2</v>
      </c>
      <c r="E36" t="str">
        <f t="shared" ca="1" si="12"/>
        <v/>
      </c>
      <c r="F36" s="32" t="str">
        <f t="shared" ca="1" si="13"/>
        <v/>
      </c>
    </row>
    <row r="37" spans="3:6" x14ac:dyDescent="0.25">
      <c r="C37" s="6">
        <f t="shared" ca="1" si="11"/>
        <v>1</v>
      </c>
      <c r="D37" s="6">
        <f t="shared" si="14"/>
        <v>2</v>
      </c>
      <c r="E37" t="str">
        <f t="shared" ca="1" si="12"/>
        <v/>
      </c>
      <c r="F37" s="32" t="str">
        <f t="shared" ca="1" si="13"/>
        <v/>
      </c>
    </row>
    <row r="38" spans="3:6" x14ac:dyDescent="0.25">
      <c r="C38" s="6">
        <f t="shared" ca="1" si="11"/>
        <v>1</v>
      </c>
      <c r="D38" s="6">
        <f t="shared" si="14"/>
        <v>2</v>
      </c>
      <c r="E38" t="str">
        <f t="shared" ca="1" si="12"/>
        <v/>
      </c>
      <c r="F38" s="32" t="str">
        <f t="shared" ca="1" si="13"/>
        <v/>
      </c>
    </row>
    <row r="39" spans="3:6" x14ac:dyDescent="0.25">
      <c r="C39" s="6">
        <f t="shared" ca="1" si="11"/>
        <v>1</v>
      </c>
      <c r="D39" s="6">
        <f t="shared" si="14"/>
        <v>2</v>
      </c>
      <c r="E39" t="str">
        <f t="shared" ca="1" si="12"/>
        <v/>
      </c>
      <c r="F39" s="32" t="str">
        <f t="shared" ca="1" si="13"/>
        <v/>
      </c>
    </row>
    <row r="40" spans="3:6" x14ac:dyDescent="0.25">
      <c r="C40" s="6">
        <f t="shared" ca="1" si="11"/>
        <v>1</v>
      </c>
      <c r="D40" s="6">
        <f>D39+1</f>
        <v>3</v>
      </c>
      <c r="E40" t="str">
        <f ca="1">IF(ISNA(VLOOKUP(D40,OFFSET($A$2:$C$6,0,$B10),2,FALSE)),"",VLOOKUP(D40,OFFSET($A$2:$C$6,0,$B10),2,FALSE))</f>
        <v/>
      </c>
      <c r="F40" s="32" t="str">
        <f ca="1">IF(ISNA(VLOOKUP(D40,OFFSET($A$2:$C$6,0,$B10),3,FALSE)),"",VLOOKUP(D40,OFFSET($A$2:$C$6,0,$B10),3,FALSE))</f>
        <v/>
      </c>
    </row>
    <row r="41" spans="3:6" x14ac:dyDescent="0.25">
      <c r="C41" s="6">
        <f t="shared" ca="1" si="11"/>
        <v>1</v>
      </c>
      <c r="D41" s="6">
        <f>D40</f>
        <v>3</v>
      </c>
      <c r="E41" t="str">
        <f t="shared" ref="E41:E54" ca="1" si="15">IF(ISNA(VLOOKUP(D41,OFFSET($A$2:$C$6,0,$B11),2,FALSE)),"",VLOOKUP(D41,OFFSET($A$2:$C$6,0,$B11),2,FALSE))</f>
        <v/>
      </c>
      <c r="F41" s="32" t="str">
        <f t="shared" ref="F41:F54" ca="1" si="16">IF(ISNA(VLOOKUP(D41,OFFSET($A$2:$C$6,0,$B11),3,FALSE)),"",VLOOKUP(D41,OFFSET($A$2:$C$6,0,$B11),3,FALSE))</f>
        <v/>
      </c>
    </row>
    <row r="42" spans="3:6" x14ac:dyDescent="0.25">
      <c r="C42" s="6">
        <f t="shared" ca="1" si="11"/>
        <v>1</v>
      </c>
      <c r="D42" s="6">
        <f t="shared" ref="D42:D54" si="17">D41</f>
        <v>3</v>
      </c>
      <c r="E42" t="str">
        <f t="shared" ca="1" si="15"/>
        <v/>
      </c>
      <c r="F42" s="32" t="str">
        <f t="shared" ca="1" si="16"/>
        <v/>
      </c>
    </row>
    <row r="43" spans="3:6" x14ac:dyDescent="0.25">
      <c r="C43" s="6">
        <f t="shared" ca="1" si="11"/>
        <v>1</v>
      </c>
      <c r="D43" s="6">
        <f t="shared" si="17"/>
        <v>3</v>
      </c>
      <c r="E43" t="str">
        <f t="shared" ca="1" si="15"/>
        <v/>
      </c>
      <c r="F43" s="32" t="str">
        <f t="shared" ca="1" si="16"/>
        <v/>
      </c>
    </row>
    <row r="44" spans="3:6" x14ac:dyDescent="0.25">
      <c r="C44" s="6">
        <f t="shared" ca="1" si="11"/>
        <v>1</v>
      </c>
      <c r="D44" s="6">
        <f t="shared" si="17"/>
        <v>3</v>
      </c>
      <c r="E44" t="str">
        <f t="shared" ca="1" si="15"/>
        <v/>
      </c>
      <c r="F44" s="32" t="str">
        <f t="shared" ca="1" si="16"/>
        <v/>
      </c>
    </row>
    <row r="45" spans="3:6" x14ac:dyDescent="0.25">
      <c r="C45" s="6">
        <f t="shared" ca="1" si="11"/>
        <v>1</v>
      </c>
      <c r="D45" s="6">
        <f t="shared" si="17"/>
        <v>3</v>
      </c>
      <c r="E45" t="str">
        <f t="shared" ca="1" si="15"/>
        <v/>
      </c>
      <c r="F45" s="32" t="str">
        <f t="shared" ca="1" si="16"/>
        <v/>
      </c>
    </row>
    <row r="46" spans="3:6" x14ac:dyDescent="0.25">
      <c r="C46" s="6">
        <f t="shared" ca="1" si="11"/>
        <v>1</v>
      </c>
      <c r="D46" s="6">
        <f t="shared" si="17"/>
        <v>3</v>
      </c>
      <c r="E46" t="str">
        <f t="shared" ca="1" si="15"/>
        <v/>
      </c>
      <c r="F46" s="32" t="str">
        <f t="shared" ca="1" si="16"/>
        <v/>
      </c>
    </row>
    <row r="47" spans="3:6" x14ac:dyDescent="0.25">
      <c r="C47" s="6">
        <f t="shared" ca="1" si="11"/>
        <v>1</v>
      </c>
      <c r="D47" s="6">
        <f t="shared" si="17"/>
        <v>3</v>
      </c>
      <c r="E47" t="str">
        <f t="shared" ca="1" si="15"/>
        <v/>
      </c>
      <c r="F47" s="32" t="str">
        <f t="shared" ca="1" si="16"/>
        <v/>
      </c>
    </row>
    <row r="48" spans="3:6" x14ac:dyDescent="0.25">
      <c r="C48" s="6">
        <f t="shared" ca="1" si="11"/>
        <v>1</v>
      </c>
      <c r="D48" s="6">
        <f t="shared" si="17"/>
        <v>3</v>
      </c>
      <c r="E48" t="str">
        <f t="shared" ca="1" si="15"/>
        <v/>
      </c>
      <c r="F48" s="32" t="str">
        <f t="shared" ca="1" si="16"/>
        <v/>
      </c>
    </row>
    <row r="49" spans="3:6" x14ac:dyDescent="0.25">
      <c r="C49" s="6">
        <f t="shared" ca="1" si="11"/>
        <v>1</v>
      </c>
      <c r="D49" s="6">
        <f t="shared" si="17"/>
        <v>3</v>
      </c>
      <c r="E49" t="str">
        <f t="shared" ca="1" si="15"/>
        <v/>
      </c>
      <c r="F49" s="32" t="str">
        <f t="shared" ca="1" si="16"/>
        <v/>
      </c>
    </row>
    <row r="50" spans="3:6" x14ac:dyDescent="0.25">
      <c r="C50" s="6">
        <f t="shared" ca="1" si="11"/>
        <v>1</v>
      </c>
      <c r="D50" s="6">
        <f t="shared" si="17"/>
        <v>3</v>
      </c>
      <c r="E50" t="str">
        <f t="shared" ca="1" si="15"/>
        <v/>
      </c>
      <c r="F50" s="32" t="str">
        <f t="shared" ca="1" si="16"/>
        <v/>
      </c>
    </row>
    <row r="51" spans="3:6" x14ac:dyDescent="0.25">
      <c r="C51" s="6">
        <f t="shared" ca="1" si="11"/>
        <v>1</v>
      </c>
      <c r="D51" s="6">
        <f t="shared" si="17"/>
        <v>3</v>
      </c>
      <c r="E51" t="str">
        <f t="shared" ca="1" si="15"/>
        <v/>
      </c>
      <c r="F51" s="32" t="str">
        <f t="shared" ca="1" si="16"/>
        <v/>
      </c>
    </row>
    <row r="52" spans="3:6" x14ac:dyDescent="0.25">
      <c r="C52" s="6">
        <f t="shared" ca="1" si="11"/>
        <v>1</v>
      </c>
      <c r="D52" s="6">
        <f t="shared" si="17"/>
        <v>3</v>
      </c>
      <c r="E52" t="str">
        <f t="shared" ca="1" si="15"/>
        <v/>
      </c>
      <c r="F52" s="32" t="str">
        <f t="shared" ca="1" si="16"/>
        <v/>
      </c>
    </row>
    <row r="53" spans="3:6" x14ac:dyDescent="0.25">
      <c r="C53" s="6">
        <f t="shared" ca="1" si="11"/>
        <v>1</v>
      </c>
      <c r="D53" s="6">
        <f t="shared" si="17"/>
        <v>3</v>
      </c>
      <c r="E53" t="str">
        <f t="shared" ca="1" si="15"/>
        <v/>
      </c>
      <c r="F53" s="32" t="str">
        <f t="shared" ca="1" si="16"/>
        <v/>
      </c>
    </row>
    <row r="54" spans="3:6" x14ac:dyDescent="0.25">
      <c r="C54" s="6">
        <f t="shared" ca="1" si="11"/>
        <v>1</v>
      </c>
      <c r="D54" s="6">
        <f t="shared" si="17"/>
        <v>3</v>
      </c>
      <c r="E54" t="str">
        <f t="shared" ca="1" si="15"/>
        <v/>
      </c>
      <c r="F54" s="32" t="str">
        <f t="shared" ca="1" si="16"/>
        <v/>
      </c>
    </row>
    <row r="55" spans="3:6" x14ac:dyDescent="0.25">
      <c r="C55" s="6">
        <f t="shared" ca="1" si="11"/>
        <v>1</v>
      </c>
      <c r="D55" s="6">
        <f>D54+1</f>
        <v>4</v>
      </c>
      <c r="E55" t="str">
        <f ca="1">IF(ISNA(VLOOKUP(D55,OFFSET($A$2:$C$6,0,$B10),2,FALSE)),"",VLOOKUP(D55,OFFSET($A$2:$C$6,0,$B10),2,FALSE))</f>
        <v/>
      </c>
      <c r="F55" s="32" t="str">
        <f ca="1">IF(ISNA(VLOOKUP(D55,OFFSET($A$2:$C$6,0,$B10),3,FALSE)),"",VLOOKUP(D55,OFFSET($A$2:$C$6,0,$B10),3,FALSE))</f>
        <v/>
      </c>
    </row>
    <row r="56" spans="3:6" x14ac:dyDescent="0.25">
      <c r="C56" s="6">
        <f t="shared" ca="1" si="11"/>
        <v>1</v>
      </c>
      <c r="D56" s="6">
        <f>D55</f>
        <v>4</v>
      </c>
      <c r="E56" t="str">
        <f t="shared" ref="E56:E69" ca="1" si="18">IF(ISNA(VLOOKUP(D56,OFFSET($A$2:$C$6,0,$B11),2,FALSE)),"",VLOOKUP(D56,OFFSET($A$2:$C$6,0,$B11),2,FALSE))</f>
        <v/>
      </c>
      <c r="F56" s="32" t="str">
        <f t="shared" ref="F56:F69" ca="1" si="19">IF(ISNA(VLOOKUP(D56,OFFSET($A$2:$C$6,0,$B11),3,FALSE)),"",VLOOKUP(D56,OFFSET($A$2:$C$6,0,$B11),3,FALSE))</f>
        <v/>
      </c>
    </row>
    <row r="57" spans="3:6" x14ac:dyDescent="0.25">
      <c r="C57" s="6">
        <f t="shared" ca="1" si="11"/>
        <v>1</v>
      </c>
      <c r="D57" s="6">
        <f t="shared" ref="D57:D69" si="20">D56</f>
        <v>4</v>
      </c>
      <c r="E57" t="str">
        <f t="shared" ca="1" si="18"/>
        <v/>
      </c>
      <c r="F57" s="32" t="str">
        <f t="shared" ca="1" si="19"/>
        <v/>
      </c>
    </row>
    <row r="58" spans="3:6" x14ac:dyDescent="0.25">
      <c r="C58" s="6">
        <f t="shared" ca="1" si="11"/>
        <v>1</v>
      </c>
      <c r="D58" s="6">
        <f t="shared" si="20"/>
        <v>4</v>
      </c>
      <c r="E58" t="str">
        <f t="shared" ca="1" si="18"/>
        <v/>
      </c>
      <c r="F58" s="32" t="str">
        <f t="shared" ca="1" si="19"/>
        <v/>
      </c>
    </row>
    <row r="59" spans="3:6" x14ac:dyDescent="0.25">
      <c r="C59" s="6">
        <f t="shared" ca="1" si="11"/>
        <v>1</v>
      </c>
      <c r="D59" s="6">
        <f t="shared" si="20"/>
        <v>4</v>
      </c>
      <c r="E59" t="str">
        <f t="shared" ca="1" si="18"/>
        <v/>
      </c>
      <c r="F59" s="32" t="str">
        <f t="shared" ca="1" si="19"/>
        <v/>
      </c>
    </row>
    <row r="60" spans="3:6" x14ac:dyDescent="0.25">
      <c r="C60" s="6">
        <f t="shared" ca="1" si="11"/>
        <v>1</v>
      </c>
      <c r="D60" s="6">
        <f t="shared" si="20"/>
        <v>4</v>
      </c>
      <c r="E60" t="str">
        <f t="shared" ca="1" si="18"/>
        <v/>
      </c>
      <c r="F60" s="32" t="str">
        <f t="shared" ca="1" si="19"/>
        <v/>
      </c>
    </row>
    <row r="61" spans="3:6" x14ac:dyDescent="0.25">
      <c r="C61" s="6">
        <f t="shared" ca="1" si="11"/>
        <v>1</v>
      </c>
      <c r="D61" s="6">
        <f t="shared" si="20"/>
        <v>4</v>
      </c>
      <c r="E61" t="str">
        <f t="shared" ca="1" si="18"/>
        <v/>
      </c>
      <c r="F61" s="32" t="str">
        <f t="shared" ca="1" si="19"/>
        <v/>
      </c>
    </row>
    <row r="62" spans="3:6" x14ac:dyDescent="0.25">
      <c r="C62" s="6">
        <f t="shared" ca="1" si="11"/>
        <v>1</v>
      </c>
      <c r="D62" s="6">
        <f t="shared" si="20"/>
        <v>4</v>
      </c>
      <c r="E62" t="str">
        <f t="shared" ca="1" si="18"/>
        <v/>
      </c>
      <c r="F62" s="32" t="str">
        <f t="shared" ca="1" si="19"/>
        <v/>
      </c>
    </row>
    <row r="63" spans="3:6" x14ac:dyDescent="0.25">
      <c r="C63" s="6">
        <f t="shared" ca="1" si="11"/>
        <v>1</v>
      </c>
      <c r="D63" s="6">
        <f t="shared" si="20"/>
        <v>4</v>
      </c>
      <c r="E63" t="str">
        <f t="shared" ca="1" si="18"/>
        <v/>
      </c>
      <c r="F63" s="32" t="str">
        <f t="shared" ca="1" si="19"/>
        <v/>
      </c>
    </row>
    <row r="64" spans="3:6" x14ac:dyDescent="0.25">
      <c r="C64" s="6">
        <f t="shared" ca="1" si="11"/>
        <v>1</v>
      </c>
      <c r="D64" s="6">
        <f t="shared" si="20"/>
        <v>4</v>
      </c>
      <c r="E64" t="str">
        <f t="shared" ca="1" si="18"/>
        <v/>
      </c>
      <c r="F64" s="32" t="str">
        <f t="shared" ca="1" si="19"/>
        <v/>
      </c>
    </row>
    <row r="65" spans="3:6" x14ac:dyDescent="0.25">
      <c r="C65" s="6">
        <f t="shared" ca="1" si="11"/>
        <v>1</v>
      </c>
      <c r="D65" s="6">
        <f t="shared" si="20"/>
        <v>4</v>
      </c>
      <c r="E65" t="str">
        <f t="shared" ca="1" si="18"/>
        <v/>
      </c>
      <c r="F65" s="32" t="str">
        <f t="shared" ca="1" si="19"/>
        <v/>
      </c>
    </row>
    <row r="66" spans="3:6" x14ac:dyDescent="0.25">
      <c r="C66" s="6">
        <f t="shared" ca="1" si="11"/>
        <v>1</v>
      </c>
      <c r="D66" s="6">
        <f t="shared" si="20"/>
        <v>4</v>
      </c>
      <c r="E66" t="str">
        <f t="shared" ca="1" si="18"/>
        <v/>
      </c>
      <c r="F66" s="32" t="str">
        <f t="shared" ca="1" si="19"/>
        <v/>
      </c>
    </row>
    <row r="67" spans="3:6" x14ac:dyDescent="0.25">
      <c r="C67" s="6">
        <f t="shared" ca="1" si="11"/>
        <v>1</v>
      </c>
      <c r="D67" s="6">
        <f t="shared" si="20"/>
        <v>4</v>
      </c>
      <c r="E67" t="str">
        <f t="shared" ca="1" si="18"/>
        <v/>
      </c>
      <c r="F67" s="32" t="str">
        <f t="shared" ca="1" si="19"/>
        <v/>
      </c>
    </row>
    <row r="68" spans="3:6" x14ac:dyDescent="0.25">
      <c r="C68" s="6">
        <f t="shared" ca="1" si="11"/>
        <v>1</v>
      </c>
      <c r="D68" s="6">
        <f t="shared" si="20"/>
        <v>4</v>
      </c>
      <c r="E68" t="str">
        <f t="shared" ca="1" si="18"/>
        <v/>
      </c>
      <c r="F68" s="32" t="str">
        <f t="shared" ca="1" si="19"/>
        <v/>
      </c>
    </row>
    <row r="69" spans="3:6" x14ac:dyDescent="0.25">
      <c r="C69" s="6">
        <f t="shared" ca="1" si="11"/>
        <v>1</v>
      </c>
      <c r="D69" s="6">
        <f t="shared" si="20"/>
        <v>4</v>
      </c>
      <c r="E69" t="str">
        <f t="shared" ca="1" si="18"/>
        <v/>
      </c>
      <c r="F69" s="32" t="str">
        <f t="shared" ca="1" si="19"/>
        <v/>
      </c>
    </row>
    <row r="70" spans="3:6" x14ac:dyDescent="0.25">
      <c r="C70" s="6">
        <f t="shared" ca="1" si="11"/>
        <v>1</v>
      </c>
      <c r="D70" s="6">
        <f>D69+1</f>
        <v>5</v>
      </c>
      <c r="E70" t="str">
        <f ca="1">IF(ISNA(VLOOKUP(D70,OFFSET($A$2:$C$6,0,$B10),2,FALSE)),"",VLOOKUP(D70,OFFSET($A$2:$C$6,0,$B10),2,FALSE))</f>
        <v/>
      </c>
      <c r="F70" s="32" t="str">
        <f ca="1">IF(ISNA(VLOOKUP(D70,OFFSET($A$2:$C$6,0,$B10),3,FALSE)),"",VLOOKUP(D70,OFFSET($A$2:$C$6,0,$B10),3,FALSE))</f>
        <v/>
      </c>
    </row>
    <row r="71" spans="3:6" x14ac:dyDescent="0.25">
      <c r="C71" s="6">
        <f t="shared" ca="1" si="11"/>
        <v>1</v>
      </c>
      <c r="D71" s="6">
        <f>D70</f>
        <v>5</v>
      </c>
      <c r="E71" t="str">
        <f t="shared" ref="E71:E84" ca="1" si="21">IF(ISNA(VLOOKUP(D71,OFFSET($A$2:$C$6,0,$B11),2,FALSE)),"",VLOOKUP(D71,OFFSET($A$2:$C$6,0,$B11),2,FALSE))</f>
        <v/>
      </c>
      <c r="F71" s="32" t="str">
        <f t="shared" ref="F71:F84" ca="1" si="22">IF(ISNA(VLOOKUP(D71,OFFSET($A$2:$C$6,0,$B11),3,FALSE)),"",VLOOKUP(D71,OFFSET($A$2:$C$6,0,$B11),3,FALSE))</f>
        <v/>
      </c>
    </row>
    <row r="72" spans="3:6" x14ac:dyDescent="0.25">
      <c r="C72" s="6">
        <f t="shared" ca="1" si="11"/>
        <v>1</v>
      </c>
      <c r="D72" s="6">
        <f t="shared" ref="D72:D84" si="23">D71</f>
        <v>5</v>
      </c>
      <c r="E72" t="str">
        <f t="shared" ca="1" si="21"/>
        <v/>
      </c>
      <c r="F72" s="32" t="str">
        <f t="shared" ca="1" si="22"/>
        <v/>
      </c>
    </row>
    <row r="73" spans="3:6" x14ac:dyDescent="0.25">
      <c r="C73" s="6">
        <f t="shared" ca="1" si="11"/>
        <v>1</v>
      </c>
      <c r="D73" s="6">
        <f t="shared" si="23"/>
        <v>5</v>
      </c>
      <c r="E73" t="str">
        <f t="shared" ca="1" si="21"/>
        <v/>
      </c>
      <c r="F73" s="32" t="str">
        <f t="shared" ca="1" si="22"/>
        <v/>
      </c>
    </row>
    <row r="74" spans="3:6" x14ac:dyDescent="0.25">
      <c r="C74" s="6">
        <f t="shared" ca="1" si="11"/>
        <v>1</v>
      </c>
      <c r="D74" s="6">
        <f t="shared" si="23"/>
        <v>5</v>
      </c>
      <c r="E74" t="str">
        <f t="shared" ca="1" si="21"/>
        <v/>
      </c>
      <c r="F74" s="32" t="str">
        <f t="shared" ca="1" si="22"/>
        <v/>
      </c>
    </row>
    <row r="75" spans="3:6" x14ac:dyDescent="0.25">
      <c r="C75" s="6">
        <f ca="1">IF(E75="",C74,C74+1)</f>
        <v>1</v>
      </c>
      <c r="D75" s="6">
        <f t="shared" si="23"/>
        <v>5</v>
      </c>
      <c r="E75" t="str">
        <f t="shared" ca="1" si="21"/>
        <v/>
      </c>
      <c r="F75" s="32" t="str">
        <f ca="1">IF(ISNA(VLOOKUP(D75,OFFSET($A$2:$C$6,0,$B15),3,FALSE)),"",VLOOKUP(D75,OFFSET($A$2:$C$6,0,$B15),3,FALSE))</f>
        <v/>
      </c>
    </row>
    <row r="76" spans="3:6" x14ac:dyDescent="0.25">
      <c r="C76" s="6">
        <f t="shared" ca="1" si="11"/>
        <v>1</v>
      </c>
      <c r="D76" s="6">
        <f t="shared" si="23"/>
        <v>5</v>
      </c>
      <c r="E76" t="str">
        <f t="shared" ca="1" si="21"/>
        <v/>
      </c>
      <c r="F76" s="32" t="str">
        <f t="shared" ca="1" si="22"/>
        <v/>
      </c>
    </row>
    <row r="77" spans="3:6" x14ac:dyDescent="0.25">
      <c r="C77" s="6">
        <f t="shared" ref="C77:C99" ca="1" si="24">IF(E77="",C76,C76+1)</f>
        <v>1</v>
      </c>
      <c r="D77" s="6">
        <f t="shared" si="23"/>
        <v>5</v>
      </c>
      <c r="E77" t="str">
        <f t="shared" ca="1" si="21"/>
        <v/>
      </c>
      <c r="F77" s="32" t="str">
        <f t="shared" ca="1" si="22"/>
        <v/>
      </c>
    </row>
    <row r="78" spans="3:6" x14ac:dyDescent="0.25">
      <c r="C78" s="6">
        <f t="shared" ca="1" si="24"/>
        <v>1</v>
      </c>
      <c r="D78" s="6">
        <f t="shared" si="23"/>
        <v>5</v>
      </c>
      <c r="E78" t="str">
        <f t="shared" ca="1" si="21"/>
        <v/>
      </c>
      <c r="F78" s="32" t="str">
        <f t="shared" ca="1" si="22"/>
        <v/>
      </c>
    </row>
    <row r="79" spans="3:6" x14ac:dyDescent="0.25">
      <c r="C79" s="6">
        <f t="shared" ca="1" si="24"/>
        <v>1</v>
      </c>
      <c r="D79" s="6">
        <f t="shared" si="23"/>
        <v>5</v>
      </c>
      <c r="E79" t="str">
        <f t="shared" ca="1" si="21"/>
        <v/>
      </c>
      <c r="F79" s="32" t="str">
        <f t="shared" ca="1" si="22"/>
        <v/>
      </c>
    </row>
    <row r="80" spans="3:6" x14ac:dyDescent="0.25">
      <c r="C80" s="6">
        <f t="shared" ca="1" si="24"/>
        <v>1</v>
      </c>
      <c r="D80" s="6">
        <f t="shared" si="23"/>
        <v>5</v>
      </c>
      <c r="E80" t="str">
        <f t="shared" ca="1" si="21"/>
        <v/>
      </c>
      <c r="F80" s="32" t="str">
        <f t="shared" ca="1" si="22"/>
        <v/>
      </c>
    </row>
    <row r="81" spans="3:6" x14ac:dyDescent="0.25">
      <c r="C81" s="6">
        <f t="shared" ca="1" si="24"/>
        <v>1</v>
      </c>
      <c r="D81" s="6">
        <f t="shared" si="23"/>
        <v>5</v>
      </c>
      <c r="E81" t="str">
        <f t="shared" ca="1" si="21"/>
        <v/>
      </c>
      <c r="F81" s="32" t="str">
        <f t="shared" ca="1" si="22"/>
        <v/>
      </c>
    </row>
    <row r="82" spans="3:6" x14ac:dyDescent="0.25">
      <c r="C82" s="6">
        <f t="shared" ca="1" si="24"/>
        <v>1</v>
      </c>
      <c r="D82" s="6">
        <f t="shared" si="23"/>
        <v>5</v>
      </c>
      <c r="E82" t="str">
        <f t="shared" ca="1" si="21"/>
        <v/>
      </c>
      <c r="F82" s="32" t="str">
        <f t="shared" ca="1" si="22"/>
        <v/>
      </c>
    </row>
    <row r="83" spans="3:6" x14ac:dyDescent="0.25">
      <c r="C83" s="6">
        <f t="shared" ca="1" si="24"/>
        <v>1</v>
      </c>
      <c r="D83" s="6">
        <f t="shared" si="23"/>
        <v>5</v>
      </c>
      <c r="E83" t="str">
        <f t="shared" ca="1" si="21"/>
        <v/>
      </c>
      <c r="F83" s="32" t="str">
        <f t="shared" ca="1" si="22"/>
        <v/>
      </c>
    </row>
    <row r="84" spans="3:6" x14ac:dyDescent="0.25">
      <c r="C84" s="6">
        <f ca="1">IF(E84="",C83,C83+1)</f>
        <v>1</v>
      </c>
      <c r="D84" s="6">
        <f t="shared" si="23"/>
        <v>5</v>
      </c>
      <c r="E84" t="str">
        <f t="shared" ca="1" si="21"/>
        <v/>
      </c>
      <c r="F84" s="32" t="str">
        <f t="shared" ca="1" si="22"/>
        <v/>
      </c>
    </row>
    <row r="85" spans="3:6" x14ac:dyDescent="0.25">
      <c r="C85" s="6">
        <f t="shared" ca="1" si="24"/>
        <v>1</v>
      </c>
      <c r="D85" s="6">
        <f>D84+1</f>
        <v>6</v>
      </c>
      <c r="E85" t="str">
        <f ca="1">IF(ISNA(VLOOKUP(D85,OFFSET($A$2:$C$6,0,$B10),2,FALSE)),"",VLOOKUP(D85,OFFSET($A$2:$C$6,0,$B10),2,FALSE))</f>
        <v/>
      </c>
      <c r="F85" s="32" t="str">
        <f ca="1">IF(ISNA(VLOOKUP(D85,OFFSET($A$2:$C$6,0,$B10),3,FALSE)),"",VLOOKUP(D85,OFFSET($A$2:$C$6,0,$B10),3,FALSE))</f>
        <v/>
      </c>
    </row>
    <row r="86" spans="3:6" x14ac:dyDescent="0.25">
      <c r="C86" s="6">
        <f t="shared" ca="1" si="24"/>
        <v>1</v>
      </c>
      <c r="D86" s="6">
        <f>D85</f>
        <v>6</v>
      </c>
      <c r="E86" t="str">
        <f t="shared" ref="E86:E99" ca="1" si="25">IF(ISNA(VLOOKUP(D86,OFFSET($A$2:$C$6,0,$B11),2,FALSE)),"",VLOOKUP(D86,OFFSET($A$2:$C$6,0,$B11),2,FALSE))</f>
        <v/>
      </c>
      <c r="F86" s="32" t="str">
        <f t="shared" ref="F86:F99" ca="1" si="26">IF(ISNA(VLOOKUP(D86,OFFSET($A$2:$C$6,0,$B11),3,FALSE)),"",VLOOKUP(D86,OFFSET($A$2:$C$6,0,$B11),3,FALSE))</f>
        <v/>
      </c>
    </row>
    <row r="87" spans="3:6" x14ac:dyDescent="0.25">
      <c r="C87" s="6">
        <f t="shared" ca="1" si="24"/>
        <v>1</v>
      </c>
      <c r="D87" s="6">
        <f t="shared" ref="D87:D99" si="27">D86</f>
        <v>6</v>
      </c>
      <c r="E87" t="str">
        <f t="shared" ca="1" si="25"/>
        <v/>
      </c>
      <c r="F87" s="32" t="str">
        <f t="shared" ca="1" si="26"/>
        <v/>
      </c>
    </row>
    <row r="88" spans="3:6" x14ac:dyDescent="0.25">
      <c r="C88" s="6">
        <f t="shared" ca="1" si="24"/>
        <v>1</v>
      </c>
      <c r="D88" s="6">
        <f t="shared" si="27"/>
        <v>6</v>
      </c>
      <c r="E88" t="str">
        <f t="shared" ca="1" si="25"/>
        <v/>
      </c>
      <c r="F88" s="32" t="str">
        <f t="shared" ca="1" si="26"/>
        <v/>
      </c>
    </row>
    <row r="89" spans="3:6" x14ac:dyDescent="0.25">
      <c r="C89" s="6">
        <f t="shared" ca="1" si="24"/>
        <v>1</v>
      </c>
      <c r="D89" s="6">
        <f t="shared" si="27"/>
        <v>6</v>
      </c>
      <c r="E89" t="str">
        <f t="shared" ca="1" si="25"/>
        <v/>
      </c>
      <c r="F89" s="32" t="str">
        <f t="shared" ca="1" si="26"/>
        <v/>
      </c>
    </row>
    <row r="90" spans="3:6" x14ac:dyDescent="0.25">
      <c r="C90" s="6">
        <f t="shared" ca="1" si="24"/>
        <v>1</v>
      </c>
      <c r="D90" s="6">
        <f t="shared" si="27"/>
        <v>6</v>
      </c>
      <c r="E90" t="str">
        <f ca="1">IF(ISNA(VLOOKUP(D90,OFFSET($A$2:$C$6,0,$B15),2,FALSE)),"",VLOOKUP(D90,OFFSET($A$2:$C$6,0,$B15),2,FALSE))</f>
        <v/>
      </c>
      <c r="F90" s="32" t="str">
        <f t="shared" ca="1" si="26"/>
        <v/>
      </c>
    </row>
    <row r="91" spans="3:6" x14ac:dyDescent="0.25">
      <c r="C91" s="6">
        <f t="shared" ca="1" si="24"/>
        <v>1</v>
      </c>
      <c r="D91" s="6">
        <f t="shared" si="27"/>
        <v>6</v>
      </c>
      <c r="E91" t="str">
        <f t="shared" ca="1" si="25"/>
        <v/>
      </c>
      <c r="F91" s="32" t="str">
        <f t="shared" ca="1" si="26"/>
        <v/>
      </c>
    </row>
    <row r="92" spans="3:6" x14ac:dyDescent="0.25">
      <c r="C92" s="6">
        <f t="shared" ca="1" si="24"/>
        <v>1</v>
      </c>
      <c r="D92" s="6">
        <f t="shared" si="27"/>
        <v>6</v>
      </c>
      <c r="E92" t="str">
        <f t="shared" ca="1" si="25"/>
        <v/>
      </c>
      <c r="F92" s="32" t="str">
        <f t="shared" ca="1" si="26"/>
        <v/>
      </c>
    </row>
    <row r="93" spans="3:6" x14ac:dyDescent="0.25">
      <c r="C93" s="6">
        <f t="shared" ca="1" si="24"/>
        <v>1</v>
      </c>
      <c r="D93" s="6">
        <f t="shared" si="27"/>
        <v>6</v>
      </c>
      <c r="E93" t="str">
        <f t="shared" ca="1" si="25"/>
        <v/>
      </c>
      <c r="F93" s="32" t="str">
        <f t="shared" ca="1" si="26"/>
        <v/>
      </c>
    </row>
    <row r="94" spans="3:6" x14ac:dyDescent="0.25">
      <c r="C94" s="6">
        <f t="shared" ca="1" si="24"/>
        <v>1</v>
      </c>
      <c r="D94" s="6">
        <f t="shared" si="27"/>
        <v>6</v>
      </c>
      <c r="E94" t="str">
        <f t="shared" ca="1" si="25"/>
        <v/>
      </c>
      <c r="F94" s="32" t="str">
        <f t="shared" ca="1" si="26"/>
        <v/>
      </c>
    </row>
    <row r="95" spans="3:6" x14ac:dyDescent="0.25">
      <c r="C95" s="6">
        <f t="shared" ca="1" si="24"/>
        <v>1</v>
      </c>
      <c r="D95" s="6">
        <f t="shared" si="27"/>
        <v>6</v>
      </c>
      <c r="E95" t="str">
        <f t="shared" ca="1" si="25"/>
        <v/>
      </c>
      <c r="F95" s="32" t="str">
        <f t="shared" ca="1" si="26"/>
        <v/>
      </c>
    </row>
    <row r="96" spans="3:6" x14ac:dyDescent="0.25">
      <c r="C96" s="6">
        <f t="shared" ca="1" si="24"/>
        <v>1</v>
      </c>
      <c r="D96" s="6">
        <f t="shared" si="27"/>
        <v>6</v>
      </c>
      <c r="E96" t="str">
        <f t="shared" ca="1" si="25"/>
        <v/>
      </c>
      <c r="F96" s="32" t="str">
        <f t="shared" ca="1" si="26"/>
        <v/>
      </c>
    </row>
    <row r="97" spans="3:6" x14ac:dyDescent="0.25">
      <c r="C97" s="6">
        <f t="shared" ca="1" si="24"/>
        <v>1</v>
      </c>
      <c r="D97" s="6">
        <f t="shared" si="27"/>
        <v>6</v>
      </c>
      <c r="E97" t="str">
        <f t="shared" ca="1" si="25"/>
        <v/>
      </c>
      <c r="F97" s="32" t="str">
        <f t="shared" ca="1" si="26"/>
        <v/>
      </c>
    </row>
    <row r="98" spans="3:6" x14ac:dyDescent="0.25">
      <c r="C98" s="6">
        <f t="shared" ca="1" si="24"/>
        <v>1</v>
      </c>
      <c r="D98" s="6">
        <f t="shared" si="27"/>
        <v>6</v>
      </c>
      <c r="E98" t="str">
        <f t="shared" ca="1" si="25"/>
        <v/>
      </c>
      <c r="F98" s="32" t="str">
        <f t="shared" ca="1" si="26"/>
        <v/>
      </c>
    </row>
    <row r="99" spans="3:6" x14ac:dyDescent="0.25">
      <c r="C99" s="6">
        <f t="shared" ca="1" si="24"/>
        <v>1</v>
      </c>
      <c r="D99" s="6">
        <f t="shared" si="27"/>
        <v>6</v>
      </c>
      <c r="E99" t="str">
        <f t="shared" ca="1" si="25"/>
        <v/>
      </c>
      <c r="F99" s="32" t="str">
        <f t="shared" ca="1" si="26"/>
        <v/>
      </c>
    </row>
  </sheetData>
  <pageMargins left="0.7" right="0.7" top="0.75" bottom="0.75" header="0.3" footer="0.3"/>
  <pageSetup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6" tint="0.39997558519241921"/>
  </sheetPr>
  <dimension ref="A1:AC39"/>
  <sheetViews>
    <sheetView showGridLines="0" workbookViewId="0">
      <selection activeCell="N8" sqref="N8"/>
    </sheetView>
  </sheetViews>
  <sheetFormatPr defaultRowHeight="15" x14ac:dyDescent="0.25"/>
  <cols>
    <col min="1" max="1" width="7.7109375" style="51" bestFit="1" customWidth="1"/>
    <col min="2" max="2" width="24.85546875" style="51" bestFit="1" customWidth="1"/>
    <col min="3" max="10" width="6.7109375" style="51" customWidth="1"/>
    <col min="11" max="11" width="9.140625" style="51"/>
    <col min="12" max="12" width="3.85546875" style="51" bestFit="1" customWidth="1"/>
    <col min="13" max="13" width="25.140625" style="51" bestFit="1" customWidth="1"/>
    <col min="14" max="15" width="4.7109375" style="51" customWidth="1"/>
    <col min="16" max="16" width="25.140625" style="51" bestFit="1" customWidth="1"/>
    <col min="17" max="17" width="3.140625" style="51" customWidth="1"/>
    <col min="18" max="18" width="18.140625" style="51" customWidth="1"/>
    <col min="19" max="20" width="4.7109375" style="51" customWidth="1"/>
    <col min="21" max="21" width="18.140625" style="51" customWidth="1"/>
    <col min="22" max="16384" width="9.140625" style="51"/>
  </cols>
  <sheetData>
    <row r="1" spans="1:29" x14ac:dyDescent="0.25">
      <c r="A1" s="65"/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</row>
    <row r="2" spans="1:29" x14ac:dyDescent="0.25">
      <c r="A2" s="65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</row>
    <row r="3" spans="1:29" x14ac:dyDescent="0.25">
      <c r="A3" s="65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</row>
    <row r="4" spans="1:29" x14ac:dyDescent="0.25">
      <c r="A4" s="65"/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</row>
    <row r="5" spans="1:29" ht="22.5" x14ac:dyDescent="0.3">
      <c r="A5" s="136" t="s">
        <v>35</v>
      </c>
      <c r="B5" s="136"/>
      <c r="C5" s="136"/>
      <c r="D5" s="136"/>
      <c r="E5" s="136"/>
      <c r="F5" s="136"/>
      <c r="G5" s="136"/>
      <c r="H5" s="136"/>
      <c r="I5" s="136"/>
      <c r="J5" s="136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</row>
    <row r="6" spans="1:29" x14ac:dyDescent="0.25">
      <c r="A6" s="70" t="s">
        <v>25</v>
      </c>
      <c r="B6" s="70" t="s">
        <v>26</v>
      </c>
      <c r="C6" s="70" t="s">
        <v>27</v>
      </c>
      <c r="D6" s="70" t="s">
        <v>28</v>
      </c>
      <c r="E6" s="70" t="s">
        <v>29</v>
      </c>
      <c r="F6" s="70" t="s">
        <v>30</v>
      </c>
      <c r="G6" s="70" t="s">
        <v>31</v>
      </c>
      <c r="H6" s="70" t="s">
        <v>32</v>
      </c>
      <c r="I6" s="70" t="s">
        <v>33</v>
      </c>
      <c r="J6" s="70" t="s">
        <v>34</v>
      </c>
      <c r="K6" s="65"/>
      <c r="L6" s="70" t="s">
        <v>36</v>
      </c>
      <c r="M6" s="70" t="s">
        <v>37</v>
      </c>
      <c r="N6" s="130" t="s">
        <v>38</v>
      </c>
      <c r="O6" s="130"/>
      <c r="P6" s="70" t="s">
        <v>39</v>
      </c>
      <c r="Q6" s="65"/>
      <c r="R6" s="130" t="s">
        <v>40</v>
      </c>
      <c r="S6" s="130"/>
      <c r="T6" s="130"/>
      <c r="U6" s="130"/>
      <c r="V6" s="65"/>
      <c r="W6" s="65"/>
      <c r="X6" s="65"/>
      <c r="Y6" s="65"/>
      <c r="Z6" s="65"/>
      <c r="AA6" s="65"/>
      <c r="AB6" s="65"/>
      <c r="AC6" s="65"/>
    </row>
    <row r="7" spans="1:29" x14ac:dyDescent="0.25">
      <c r="A7" s="67">
        <f ca="1">OFFSET('Rangiranje B'!$AB$3,MATCH(SMALL('Rangiranje B'!$B$3:$B$8,ROW()-ROW(A$7)+1),'Rangiranje B'!$B$3:$B$8,0)-1,0)</f>
        <v>1</v>
      </c>
      <c r="B7" s="71" t="str">
        <f ca="1">OFFSET('Rangiranje B'!A$3,MATCH(SMALL('Rangiranje B'!B$3:B$8,ROW()-ROW(B$7)+1),'Rangiranje B'!B$3:B$8,0)-1,0)</f>
        <v>0 ()</v>
      </c>
      <c r="C7" s="67">
        <f ca="1">IF($A7&lt;&gt;"",VLOOKUP($B7,'Rangiranje B'!$A$3:$Z$8,COLUMN(),FALSE),"")</f>
        <v>0</v>
      </c>
      <c r="D7" s="67">
        <f ca="1">IF($A7&lt;&gt;"",VLOOKUP($B7,'Rangiranje B'!$A$3:$Z$8,COLUMN(),FALSE),"")</f>
        <v>0</v>
      </c>
      <c r="E7" s="67">
        <f ca="1">IF($A7&lt;&gt;"",VLOOKUP($B7,'Rangiranje B'!$A$3:$Z$8,COLUMN(),FALSE),"")</f>
        <v>0</v>
      </c>
      <c r="F7" s="67">
        <f ca="1">IF($A7&lt;&gt;"",VLOOKUP($B7,'Rangiranje B'!$A$3:$Z$8,COLUMN(),FALSE),"")</f>
        <v>0</v>
      </c>
      <c r="G7" s="67">
        <f ca="1">IF($A7&lt;&gt;"",VLOOKUP($B7,'Rangiranje B'!$A$3:$Z$8,COLUMN(),FALSE),"")</f>
        <v>0</v>
      </c>
      <c r="H7" s="67">
        <f ca="1">IF($A7&lt;&gt;"",VLOOKUP($B7,'Rangiranje B'!$A$3:$Z$8,COLUMN(),FALSE),"")</f>
        <v>0</v>
      </c>
      <c r="I7" s="67">
        <f ca="1">IF($A7&lt;&gt;"",VLOOKUP($B7,'Rangiranje B'!$A$3:$Z$8,COLUMN(),FALSE),"")</f>
        <v>0</v>
      </c>
      <c r="J7" s="67">
        <f ca="1">IF($A7&lt;&gt;"",VLOOKUP($B7,'Rangiranje B'!$A$3:$Z$8,COLUMN(),FALSE),"")</f>
        <v>0</v>
      </c>
      <c r="K7" s="65"/>
      <c r="L7" s="72">
        <f>IF(Informacije!$D$11&gt;=3,1,"")</f>
        <v>1</v>
      </c>
      <c r="M7" s="73" t="str">
        <f ca="1">IF(L7&lt;&gt;"",VLOOKUP(L7,'Utakmice B'!$C$10:$F$99,3,FALSE),"")</f>
        <v xml:space="preserve"> ()</v>
      </c>
      <c r="N7" s="62"/>
      <c r="O7" s="63"/>
      <c r="P7" s="73" t="str">
        <f ca="1">IF(L7&lt;&gt;"",VLOOKUP(L7,'Utakmice B'!$C$10:$F$99,4,FALSE),"")</f>
        <v xml:space="preserve"> ()</v>
      </c>
      <c r="Q7" s="65"/>
      <c r="R7" s="60"/>
      <c r="S7" s="70" t="str">
        <f>IF(S8="","",SUM(S8:S9))</f>
        <v/>
      </c>
      <c r="T7" s="70" t="str">
        <f>IF(T8="","",SUM(T8:T10))</f>
        <v/>
      </c>
      <c r="U7" s="60"/>
      <c r="V7" s="65"/>
      <c r="W7" s="65"/>
      <c r="X7" s="65"/>
      <c r="Y7" s="65"/>
      <c r="Z7" s="65"/>
      <c r="AA7" s="65"/>
      <c r="AB7" s="65"/>
      <c r="AC7" s="65"/>
    </row>
    <row r="8" spans="1:29" x14ac:dyDescent="0.25">
      <c r="A8" s="67">
        <f ca="1">OFFSET('Rangiranje B'!$AB$3,MATCH(SMALL('Rangiranje B'!$B$3:$B$8,ROW()-ROW(A$7)+1),'Rangiranje B'!$B$3:$B$8,0)-1,0)</f>
        <v>1</v>
      </c>
      <c r="B8" s="71" t="str">
        <f ca="1">OFFSET('Rangiranje B'!A$3,MATCH(SMALL('Rangiranje B'!B$3:B$8,ROW()-ROW(B$7)+1),'Rangiranje B'!B$3:B$8,0)-1,0)</f>
        <v>0 ()</v>
      </c>
      <c r="C8" s="67">
        <f ca="1">IF($A8&lt;&gt;"",VLOOKUP($B8,'Rangiranje B'!$A$3:$Z$8,COLUMN(),FALSE),"")</f>
        <v>0</v>
      </c>
      <c r="D8" s="67">
        <f ca="1">IF($A8&lt;&gt;"",VLOOKUP($B8,'Rangiranje B'!$A$3:$Z$8,COLUMN(),FALSE),"")</f>
        <v>0</v>
      </c>
      <c r="E8" s="67">
        <f ca="1">IF($A8&lt;&gt;"",VLOOKUP($B8,'Rangiranje B'!$A$3:$Z$8,COLUMN(),FALSE),"")</f>
        <v>0</v>
      </c>
      <c r="F8" s="67">
        <f ca="1">IF($A8&lt;&gt;"",VLOOKUP($B8,'Rangiranje B'!$A$3:$Z$8,COLUMN(),FALSE),"")</f>
        <v>0</v>
      </c>
      <c r="G8" s="67">
        <f ca="1">IF($A8&lt;&gt;"",VLOOKUP($B8,'Rangiranje B'!$A$3:$Z$8,COLUMN(),FALSE),"")</f>
        <v>0</v>
      </c>
      <c r="H8" s="67">
        <f ca="1">IF($A8&lt;&gt;"",VLOOKUP($B8,'Rangiranje B'!$A$3:$Z$8,COLUMN(),FALSE),"")</f>
        <v>0</v>
      </c>
      <c r="I8" s="67">
        <f ca="1">IF($A8&lt;&gt;"",VLOOKUP($B8,'Rangiranje B'!$A$3:$Z$8,COLUMN(),FALSE),"")</f>
        <v>0</v>
      </c>
      <c r="J8" s="67">
        <f ca="1">IF($A8&lt;&gt;"",VLOOKUP($B8,'Rangiranje B'!$A$3:$Z$8,COLUMN(),FALSE),"")</f>
        <v>0</v>
      </c>
      <c r="K8" s="65"/>
      <c r="L8" s="72" t="str">
        <f ca="1">IF(OR(L7='Utakmice B'!$C$99,L7=""),"",L7+1)</f>
        <v/>
      </c>
      <c r="M8" s="73" t="str">
        <f ca="1">IF(L8&lt;&gt;"",VLOOKUP(L8,'Utakmice B'!$C$10:$F$99,3,FALSE),"")</f>
        <v/>
      </c>
      <c r="N8" s="62"/>
      <c r="O8" s="63"/>
      <c r="P8" s="73" t="str">
        <f ca="1">IF(L8&lt;&gt;"",VLOOKUP(L8,'Utakmice B'!$C$10:$F$99,4,FALSE),"")</f>
        <v/>
      </c>
      <c r="Q8" s="65"/>
      <c r="R8" s="76" t="s">
        <v>41</v>
      </c>
      <c r="S8" s="57"/>
      <c r="T8" s="57"/>
      <c r="U8" s="65"/>
      <c r="V8" s="65"/>
      <c r="W8" s="65"/>
      <c r="X8" s="65"/>
      <c r="Y8" s="65"/>
      <c r="Z8" s="65"/>
      <c r="AA8" s="65"/>
      <c r="AB8" s="65"/>
      <c r="AC8" s="65"/>
    </row>
    <row r="9" spans="1:29" x14ac:dyDescent="0.25">
      <c r="A9" s="67">
        <f ca="1">OFFSET('Rangiranje B'!$AB$3,MATCH(SMALL('Rangiranje B'!$B$3:$B$8,ROW()-ROW(A$7)+1),'Rangiranje B'!$B$3:$B$8,0)-1,0)</f>
        <v>1</v>
      </c>
      <c r="B9" s="71" t="str">
        <f ca="1">OFFSET('Rangiranje B'!A$3,MATCH(SMALL('Rangiranje B'!B$3:B$8,ROW()-ROW(B$7)+1),'Rangiranje B'!B$3:B$8,0)-1,0)</f>
        <v>0 ()</v>
      </c>
      <c r="C9" s="67">
        <f ca="1">IF($A9&lt;&gt;"",VLOOKUP($B9,'Rangiranje B'!$A$3:$Z$8,COLUMN(),FALSE),"")</f>
        <v>0</v>
      </c>
      <c r="D9" s="67">
        <f ca="1">IF($A9&lt;&gt;"",VLOOKUP($B9,'Rangiranje B'!$A$3:$Z$8,COLUMN(),FALSE),"")</f>
        <v>0</v>
      </c>
      <c r="E9" s="67">
        <f ca="1">IF($A9&lt;&gt;"",VLOOKUP($B9,'Rangiranje B'!$A$3:$Z$8,COLUMN(),FALSE),"")</f>
        <v>0</v>
      </c>
      <c r="F9" s="67">
        <f ca="1">IF($A9&lt;&gt;"",VLOOKUP($B9,'Rangiranje B'!$A$3:$Z$8,COLUMN(),FALSE),"")</f>
        <v>0</v>
      </c>
      <c r="G9" s="67">
        <f ca="1">IF($A9&lt;&gt;"",VLOOKUP($B9,'Rangiranje B'!$A$3:$Z$8,COLUMN(),FALSE),"")</f>
        <v>0</v>
      </c>
      <c r="H9" s="67">
        <f ca="1">IF($A9&lt;&gt;"",VLOOKUP($B9,'Rangiranje B'!$A$3:$Z$8,COLUMN(),FALSE),"")</f>
        <v>0</v>
      </c>
      <c r="I9" s="67">
        <f ca="1">IF($A9&lt;&gt;"",VLOOKUP($B9,'Rangiranje B'!$A$3:$Z$8,COLUMN(),FALSE),"")</f>
        <v>0</v>
      </c>
      <c r="J9" s="67">
        <f ca="1">IF($A9&lt;&gt;"",VLOOKUP($B9,'Rangiranje B'!$A$3:$Z$8,COLUMN(),FALSE),"")</f>
        <v>0</v>
      </c>
      <c r="K9" s="65"/>
      <c r="L9" s="72" t="str">
        <f ca="1">IF(OR(L8='Utakmice B'!$C$99,L8=""),"",L8+1)</f>
        <v/>
      </c>
      <c r="M9" s="73" t="str">
        <f ca="1">IF(L9&lt;&gt;"",VLOOKUP(L9,'Utakmice B'!$C$10:$F$99,3,FALSE),"")</f>
        <v/>
      </c>
      <c r="N9" s="62"/>
      <c r="O9" s="63"/>
      <c r="P9" s="73" t="str">
        <f ca="1">IF(L9&lt;&gt;"",VLOOKUP(L9,'Utakmice B'!$C$10:$F$99,4,FALSE),"")</f>
        <v/>
      </c>
      <c r="Q9" s="65"/>
      <c r="R9" s="76" t="s">
        <v>42</v>
      </c>
      <c r="S9" s="57"/>
      <c r="T9" s="57"/>
      <c r="U9" s="65"/>
      <c r="V9" s="65"/>
      <c r="W9" s="65"/>
      <c r="X9" s="65"/>
      <c r="Y9" s="65"/>
      <c r="Z9" s="65"/>
      <c r="AA9" s="65"/>
      <c r="AB9" s="65"/>
      <c r="AC9" s="65"/>
    </row>
    <row r="10" spans="1:29" x14ac:dyDescent="0.25">
      <c r="A10" s="67">
        <f ca="1">OFFSET('Rangiranje B'!$AB$3,MATCH(SMALL('Rangiranje B'!$B$3:$B$8,ROW()-ROW(A$7)+1),'Rangiranje B'!$B$3:$B$8,0)-1,0)</f>
        <v>1</v>
      </c>
      <c r="B10" s="71" t="str">
        <f ca="1">OFFSET('Rangiranje B'!A$3,MATCH(SMALL('Rangiranje B'!B$3:B$8,ROW()-ROW(B$7)+1),'Rangiranje B'!B$3:B$8,0)-1,0)</f>
        <v>0 ()</v>
      </c>
      <c r="C10" s="67">
        <f ca="1">IF($A10&lt;&gt;"",VLOOKUP($B10,'Rangiranje B'!$A$3:$Z$8,COLUMN(),FALSE),"")</f>
        <v>0</v>
      </c>
      <c r="D10" s="67">
        <f ca="1">IF($A10&lt;&gt;"",VLOOKUP($B10,'Rangiranje B'!$A$3:$Z$8,COLUMN(),FALSE),"")</f>
        <v>0</v>
      </c>
      <c r="E10" s="67">
        <f ca="1">IF($A10&lt;&gt;"",VLOOKUP($B10,'Rangiranje B'!$A$3:$Z$8,COLUMN(),FALSE),"")</f>
        <v>0</v>
      </c>
      <c r="F10" s="67">
        <f ca="1">IF($A10&lt;&gt;"",VLOOKUP($B10,'Rangiranje B'!$A$3:$Z$8,COLUMN(),FALSE),"")</f>
        <v>0</v>
      </c>
      <c r="G10" s="67">
        <f ca="1">IF($A10&lt;&gt;"",VLOOKUP($B10,'Rangiranje B'!$A$3:$Z$8,COLUMN(),FALSE),"")</f>
        <v>0</v>
      </c>
      <c r="H10" s="67">
        <f ca="1">IF($A10&lt;&gt;"",VLOOKUP($B10,'Rangiranje B'!$A$3:$Z$8,COLUMN(),FALSE),"")</f>
        <v>0</v>
      </c>
      <c r="I10" s="67">
        <f ca="1">IF($A10&lt;&gt;"",VLOOKUP($B10,'Rangiranje B'!$A$3:$Z$8,COLUMN(),FALSE),"")</f>
        <v>0</v>
      </c>
      <c r="J10" s="67">
        <f ca="1">IF($A10&lt;&gt;"",VLOOKUP($B10,'Rangiranje B'!$A$3:$Z$8,COLUMN(),FALSE),"")</f>
        <v>0</v>
      </c>
      <c r="K10" s="65"/>
      <c r="L10" s="72" t="str">
        <f ca="1">IF(OR(L9='Utakmice B'!$C$99,L9=""),"",L9+1)</f>
        <v/>
      </c>
      <c r="M10" s="73" t="str">
        <f ca="1">IF(L10&lt;&gt;"",VLOOKUP(L10,'Utakmice B'!$C$10:$F$99,3,FALSE),"")</f>
        <v/>
      </c>
      <c r="N10" s="62"/>
      <c r="O10" s="61"/>
      <c r="P10" s="73" t="str">
        <f ca="1">IF(L10&lt;&gt;"",VLOOKUP(L10,'Utakmice B'!$C$10:$F$99,4,FALSE),"")</f>
        <v/>
      </c>
      <c r="Q10" s="65"/>
      <c r="R10" s="77" t="s">
        <v>43</v>
      </c>
      <c r="S10" s="60"/>
      <c r="T10" s="60"/>
      <c r="U10" s="65"/>
      <c r="V10" s="65"/>
      <c r="W10" s="65"/>
      <c r="X10" s="65"/>
      <c r="Y10" s="65"/>
      <c r="Z10" s="65"/>
      <c r="AA10" s="65"/>
      <c r="AB10" s="65"/>
      <c r="AC10" s="65"/>
    </row>
    <row r="11" spans="1:29" x14ac:dyDescent="0.25">
      <c r="A11" s="67">
        <f ca="1">OFFSET('Rangiranje B'!$AB$3,MATCH(SMALL('Rangiranje B'!$B$3:$B$8,ROW()-ROW(A$7)+1),'Rangiranje B'!$B$3:$B$8,0)-1,0)</f>
        <v>1</v>
      </c>
      <c r="B11" s="71" t="str">
        <f ca="1">OFFSET('Rangiranje B'!A$3,MATCH(SMALL('Rangiranje B'!B$3:B$8,ROW()-ROW(B$7)+1),'Rangiranje B'!B$3:B$8,0)-1,0)</f>
        <v>0 ()</v>
      </c>
      <c r="C11" s="67">
        <f ca="1">IF($A11&lt;&gt;"",VLOOKUP($B11,'Rangiranje B'!$A$3:$Z$8,COLUMN(),FALSE),"")</f>
        <v>0</v>
      </c>
      <c r="D11" s="67">
        <f ca="1">IF($A11&lt;&gt;"",VLOOKUP($B11,'Rangiranje B'!$A$3:$Z$8,COLUMN(),FALSE),"")</f>
        <v>0</v>
      </c>
      <c r="E11" s="67">
        <f ca="1">IF($A11&lt;&gt;"",VLOOKUP($B11,'Rangiranje B'!$A$3:$Z$8,COLUMN(),FALSE),"")</f>
        <v>0</v>
      </c>
      <c r="F11" s="67">
        <f ca="1">IF($A11&lt;&gt;"",VLOOKUP($B11,'Rangiranje B'!$A$3:$Z$8,COLUMN(),FALSE),"")</f>
        <v>0</v>
      </c>
      <c r="G11" s="67">
        <f ca="1">IF($A11&lt;&gt;"",VLOOKUP($B11,'Rangiranje B'!$A$3:$Z$8,COLUMN(),FALSE),"")</f>
        <v>0</v>
      </c>
      <c r="H11" s="67">
        <f ca="1">IF($A11&lt;&gt;"",VLOOKUP($B11,'Rangiranje B'!$A$3:$Z$8,COLUMN(),FALSE),"")</f>
        <v>0</v>
      </c>
      <c r="I11" s="67">
        <f ca="1">IF($A11&lt;&gt;"",VLOOKUP($B11,'Rangiranje B'!$A$3:$Z$8,COLUMN(),FALSE),"")</f>
        <v>0</v>
      </c>
      <c r="J11" s="67">
        <f ca="1">IF($A11&lt;&gt;"",VLOOKUP($B11,'Rangiranje B'!$A$3:$Z$8,COLUMN(),FALSE),"")</f>
        <v>0</v>
      </c>
      <c r="K11" s="65"/>
      <c r="L11" s="72" t="str">
        <f ca="1">IF(OR(L10='Utakmice B'!$C$99,L10=""),"",L10+1)</f>
        <v/>
      </c>
      <c r="M11" s="73" t="str">
        <f ca="1">IF(L11&lt;&gt;"",VLOOKUP(L11,'Utakmice B'!$C$10:$F$99,3,FALSE),"")</f>
        <v/>
      </c>
      <c r="N11" s="62"/>
      <c r="O11" s="61"/>
      <c r="P11" s="73" t="str">
        <f ca="1">IF(L11&lt;&gt;"",VLOOKUP(L11,'Utakmice B'!$C$10:$F$99,4,FALSE),"")</f>
        <v/>
      </c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</row>
    <row r="12" spans="1:29" x14ac:dyDescent="0.25">
      <c r="A12" s="67"/>
      <c r="B12" s="71"/>
      <c r="C12" s="67"/>
      <c r="D12" s="67"/>
      <c r="E12" s="67"/>
      <c r="F12" s="67"/>
      <c r="G12" s="67"/>
      <c r="H12" s="67"/>
      <c r="I12" s="67"/>
      <c r="J12" s="67"/>
      <c r="K12" s="65"/>
      <c r="L12" s="72" t="str">
        <f ca="1">IF(OR(L11='Utakmice B'!$C$99,L11=""),"",L11+1)</f>
        <v/>
      </c>
      <c r="M12" s="73" t="str">
        <f ca="1">IF(L12&lt;&gt;"",VLOOKUP(L12,'Utakmice B'!$C$10:$F$99,3,FALSE),"")</f>
        <v/>
      </c>
      <c r="N12" s="62"/>
      <c r="O12" s="61"/>
      <c r="P12" s="73" t="str">
        <f ca="1">IF(L12&lt;&gt;"",VLOOKUP(L12,'Utakmice B'!$C$10:$F$99,4,FALSE),"")</f>
        <v/>
      </c>
      <c r="Q12" s="65"/>
      <c r="R12" s="130" t="s">
        <v>40</v>
      </c>
      <c r="S12" s="130"/>
      <c r="T12" s="130"/>
      <c r="U12" s="130"/>
      <c r="V12" s="65"/>
      <c r="W12" s="65"/>
      <c r="X12" s="65"/>
      <c r="Y12" s="65"/>
      <c r="Z12" s="65"/>
      <c r="AA12" s="65"/>
      <c r="AB12" s="65"/>
      <c r="AC12" s="65"/>
    </row>
    <row r="13" spans="1:29" x14ac:dyDescent="0.25">
      <c r="A13" s="65"/>
      <c r="B13" s="65"/>
      <c r="C13" s="65"/>
      <c r="D13" s="65"/>
      <c r="E13" s="65"/>
      <c r="F13" s="65"/>
      <c r="G13" s="65"/>
      <c r="H13" s="65"/>
      <c r="I13" s="65"/>
      <c r="J13" s="65"/>
      <c r="K13" s="65"/>
      <c r="L13" s="72" t="str">
        <f ca="1">IF(OR(L12='Utakmice B'!$C$99,L12=""),"",L12+1)</f>
        <v/>
      </c>
      <c r="M13" s="73" t="str">
        <f ca="1">IF(L13&lt;&gt;"",VLOOKUP(L13,'Utakmice B'!$C$10:$F$99,3,FALSE),"")</f>
        <v/>
      </c>
      <c r="N13" s="62"/>
      <c r="O13" s="61"/>
      <c r="P13" s="73" t="str">
        <f ca="1">IF(L13&lt;&gt;"",VLOOKUP(L13,'Utakmice B'!$C$10:$F$99,4,FALSE),"")</f>
        <v/>
      </c>
      <c r="Q13" s="65"/>
      <c r="R13" s="60"/>
      <c r="S13" s="70" t="str">
        <f>IF(S14="","",SUM(S14:S16))</f>
        <v/>
      </c>
      <c r="T13" s="70" t="str">
        <f>IF(T14="","",SUM(T14:T16))</f>
        <v/>
      </c>
      <c r="U13" s="60"/>
      <c r="V13" s="65"/>
      <c r="W13" s="65"/>
      <c r="X13" s="65"/>
      <c r="Y13" s="65"/>
      <c r="Z13" s="65"/>
      <c r="AA13" s="65"/>
      <c r="AB13" s="65"/>
      <c r="AC13" s="65"/>
    </row>
    <row r="14" spans="1:29" x14ac:dyDescent="0.25">
      <c r="A14" s="65"/>
      <c r="B14" s="65"/>
      <c r="C14" s="65"/>
      <c r="D14" s="65"/>
      <c r="E14" s="65"/>
      <c r="F14" s="65"/>
      <c r="G14" s="65"/>
      <c r="H14" s="65"/>
      <c r="I14" s="65"/>
      <c r="J14" s="65"/>
      <c r="K14" s="65"/>
      <c r="L14" s="72" t="str">
        <f ca="1">IF(OR(L13='Utakmice B'!$C$99,L13=""),"",L13+1)</f>
        <v/>
      </c>
      <c r="M14" s="73" t="str">
        <f ca="1">IF(L14&lt;&gt;"",VLOOKUP(L14,'Utakmice B'!$C$10:$F$99,3,FALSE),"")</f>
        <v/>
      </c>
      <c r="N14" s="62"/>
      <c r="O14" s="61"/>
      <c r="P14" s="73" t="str">
        <f ca="1">IF(L14&lt;&gt;"",VLOOKUP(L14,'Utakmice B'!$C$10:$F$99,4,FALSE),"")</f>
        <v/>
      </c>
      <c r="Q14" s="65"/>
      <c r="R14" s="76" t="s">
        <v>41</v>
      </c>
      <c r="S14" s="57"/>
      <c r="T14" s="57"/>
      <c r="U14" s="65"/>
      <c r="V14" s="65"/>
      <c r="W14" s="65"/>
      <c r="X14" s="65"/>
      <c r="Y14" s="65"/>
      <c r="Z14" s="65"/>
      <c r="AA14" s="65"/>
      <c r="AB14" s="65"/>
      <c r="AC14" s="65"/>
    </row>
    <row r="15" spans="1:29" x14ac:dyDescent="0.25">
      <c r="A15" s="65"/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72" t="str">
        <f ca="1">IF(OR(L14='Utakmice B'!$C$99,L14=""),"",L14+1)</f>
        <v/>
      </c>
      <c r="M15" s="73" t="str">
        <f ca="1">IF(L15&lt;&gt;"",VLOOKUP(L15,'Utakmice B'!$C$10:$F$99,3,FALSE),"")</f>
        <v/>
      </c>
      <c r="N15" s="62"/>
      <c r="O15" s="61"/>
      <c r="P15" s="73" t="str">
        <f ca="1">IF(L15&lt;&gt;"",VLOOKUP(L15,'Utakmice B'!$C$10:$F$99,4,FALSE),"")</f>
        <v/>
      </c>
      <c r="Q15" s="65"/>
      <c r="R15" s="76" t="s">
        <v>42</v>
      </c>
      <c r="S15" s="57"/>
      <c r="T15" s="57"/>
      <c r="U15" s="65"/>
      <c r="V15" s="65"/>
      <c r="W15" s="65"/>
      <c r="X15" s="65"/>
      <c r="Y15" s="65"/>
      <c r="Z15" s="65"/>
      <c r="AA15" s="65"/>
      <c r="AB15" s="65"/>
      <c r="AC15" s="65"/>
    </row>
    <row r="16" spans="1:29" x14ac:dyDescent="0.25">
      <c r="A16" s="65"/>
      <c r="B16" s="65"/>
      <c r="C16" s="65"/>
      <c r="D16" s="65"/>
      <c r="E16" s="65"/>
      <c r="F16" s="65"/>
      <c r="G16" s="65"/>
      <c r="H16" s="65"/>
      <c r="I16" s="65"/>
      <c r="J16" s="65"/>
      <c r="K16" s="65"/>
      <c r="L16" s="72" t="str">
        <f ca="1">IF(OR(L15='Utakmice B'!$C$99,L15=""),"",L15+1)</f>
        <v/>
      </c>
      <c r="M16" s="73" t="str">
        <f ca="1">IF(L16&lt;&gt;"",VLOOKUP(L16,'Utakmice B'!$C$10:$F$99,3,FALSE),"")</f>
        <v/>
      </c>
      <c r="N16" s="62"/>
      <c r="O16" s="61"/>
      <c r="P16" s="73" t="str">
        <f ca="1">IF(L16&lt;&gt;"",VLOOKUP(L16,'Utakmice B'!$C$10:$F$99,4,FALSE),"")</f>
        <v/>
      </c>
      <c r="Q16" s="65"/>
      <c r="R16" s="77" t="s">
        <v>43</v>
      </c>
      <c r="S16" s="60"/>
      <c r="T16" s="60"/>
      <c r="U16" s="65"/>
      <c r="V16" s="65"/>
      <c r="W16" s="65"/>
      <c r="X16" s="65"/>
      <c r="Y16" s="65"/>
      <c r="Z16" s="65"/>
      <c r="AA16" s="65"/>
      <c r="AB16" s="65"/>
      <c r="AC16" s="65"/>
    </row>
    <row r="17" spans="1:29" x14ac:dyDescent="0.25">
      <c r="A17" s="65"/>
      <c r="B17" s="65"/>
      <c r="C17" s="65"/>
      <c r="D17" s="65"/>
      <c r="E17" s="65"/>
      <c r="F17" s="65"/>
      <c r="G17" s="65"/>
      <c r="H17" s="65"/>
      <c r="I17" s="65"/>
      <c r="J17" s="65"/>
      <c r="K17" s="65"/>
      <c r="L17" s="72" t="str">
        <f ca="1">IF(OR(L16='Utakmice B'!$C$99,L16=""),"",L16+1)</f>
        <v/>
      </c>
      <c r="M17" s="73" t="str">
        <f ca="1">IF(L17&lt;&gt;"",VLOOKUP(L17,'Utakmice B'!$C$10:$F$99,3,FALSE),"")</f>
        <v/>
      </c>
      <c r="N17" s="54"/>
      <c r="O17" s="61"/>
      <c r="P17" s="73" t="str">
        <f ca="1">IF(L17&lt;&gt;"",VLOOKUP(L17,'Utakmice B'!$C$10:$F$99,4,FALSE),"")</f>
        <v/>
      </c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</row>
    <row r="18" spans="1:29" x14ac:dyDescent="0.25">
      <c r="A18" s="65"/>
      <c r="B18" s="65"/>
      <c r="C18" s="65"/>
      <c r="D18" s="65"/>
      <c r="E18" s="65"/>
      <c r="F18" s="65"/>
      <c r="G18" s="65"/>
      <c r="H18" s="65"/>
      <c r="I18" s="65"/>
      <c r="J18" s="65"/>
      <c r="K18" s="65"/>
      <c r="L18" s="72" t="str">
        <f ca="1">IF(OR(L17='Utakmice B'!$C$99,L17=""),"",L17+1)</f>
        <v/>
      </c>
      <c r="M18" s="73" t="str">
        <f ca="1">IF(L18&lt;&gt;"",VLOOKUP(L18,'Utakmice B'!$C$10:$F$99,3,FALSE),"")</f>
        <v/>
      </c>
      <c r="N18" s="54"/>
      <c r="O18" s="61"/>
      <c r="P18" s="73" t="str">
        <f ca="1">IF(L18&lt;&gt;"",VLOOKUP(L18,'Utakmice B'!$C$10:$F$99,4,FALSE),"")</f>
        <v/>
      </c>
      <c r="Q18" s="65"/>
      <c r="R18" s="130" t="s">
        <v>40</v>
      </c>
      <c r="S18" s="130"/>
      <c r="T18" s="130"/>
      <c r="U18" s="130"/>
      <c r="V18" s="65"/>
      <c r="W18" s="65"/>
      <c r="X18" s="65"/>
      <c r="Y18" s="65"/>
      <c r="Z18" s="65"/>
      <c r="AA18" s="65"/>
      <c r="AB18" s="65"/>
      <c r="AC18" s="65"/>
    </row>
    <row r="19" spans="1:29" x14ac:dyDescent="0.25">
      <c r="A19" s="65"/>
      <c r="B19" s="65"/>
      <c r="C19" s="65"/>
      <c r="D19" s="65"/>
      <c r="E19" s="65"/>
      <c r="F19" s="65"/>
      <c r="G19" s="65"/>
      <c r="H19" s="65"/>
      <c r="I19" s="65"/>
      <c r="J19" s="65"/>
      <c r="K19" s="65"/>
      <c r="L19" s="72" t="str">
        <f ca="1">IF(OR(L18='Utakmice B'!$C$99,L18=""),"",L18+1)</f>
        <v/>
      </c>
      <c r="M19" s="73" t="str">
        <f ca="1">IF(L19&lt;&gt;"",VLOOKUP(L19,'Utakmice B'!$C$10:$F$99,3,FALSE),"")</f>
        <v/>
      </c>
      <c r="N19" s="54"/>
      <c r="O19" s="61"/>
      <c r="P19" s="73" t="str">
        <f ca="1">IF(L19&lt;&gt;"",VLOOKUP(L19,'Utakmice B'!$C$10:$F$99,4,FALSE),"")</f>
        <v/>
      </c>
      <c r="Q19" s="65"/>
      <c r="R19" s="60"/>
      <c r="S19" s="70" t="str">
        <f>IF(S20="","",SUM(S20:S22))</f>
        <v/>
      </c>
      <c r="T19" s="70" t="str">
        <f>IF(T20="","",SUM(T20:T22))</f>
        <v/>
      </c>
      <c r="U19" s="60"/>
      <c r="V19" s="65"/>
      <c r="W19" s="65"/>
      <c r="X19" s="65"/>
      <c r="Y19" s="65"/>
      <c r="Z19" s="65"/>
      <c r="AA19" s="65"/>
      <c r="AB19" s="65"/>
      <c r="AC19" s="65"/>
    </row>
    <row r="20" spans="1:29" x14ac:dyDescent="0.25">
      <c r="A20" s="65"/>
      <c r="B20" s="65"/>
      <c r="C20" s="65"/>
      <c r="D20" s="65"/>
      <c r="E20" s="65"/>
      <c r="F20" s="65"/>
      <c r="G20" s="65"/>
      <c r="H20" s="65"/>
      <c r="I20" s="65"/>
      <c r="J20" s="65"/>
      <c r="K20" s="65"/>
      <c r="L20" s="72" t="str">
        <f ca="1">IF(OR(L19='Utakmice B'!$C$99,L19=""),"",L19+1)</f>
        <v/>
      </c>
      <c r="M20" s="73" t="str">
        <f ca="1">IF(L20&lt;&gt;"",VLOOKUP(L20,'Utakmice B'!$C$10:$F$99,3,FALSE),"")</f>
        <v/>
      </c>
      <c r="N20" s="54"/>
      <c r="O20" s="61"/>
      <c r="P20" s="73" t="str">
        <f ca="1">IF(L20&lt;&gt;"",VLOOKUP(L20,'Utakmice B'!$C$10:$F$99,4,FALSE),"")</f>
        <v/>
      </c>
      <c r="Q20" s="65"/>
      <c r="R20" s="76" t="s">
        <v>41</v>
      </c>
      <c r="S20" s="57"/>
      <c r="T20" s="57"/>
      <c r="U20" s="65"/>
      <c r="V20" s="65"/>
      <c r="W20" s="65"/>
      <c r="X20" s="65"/>
      <c r="Y20" s="65"/>
      <c r="Z20" s="65"/>
      <c r="AA20" s="65"/>
      <c r="AB20" s="65"/>
      <c r="AC20" s="65"/>
    </row>
    <row r="21" spans="1:29" x14ac:dyDescent="0.25">
      <c r="A21" s="65"/>
      <c r="B21" s="65"/>
      <c r="C21" s="65"/>
      <c r="D21" s="65"/>
      <c r="E21" s="65"/>
      <c r="F21" s="65"/>
      <c r="G21" s="65"/>
      <c r="H21" s="65"/>
      <c r="I21" s="65"/>
      <c r="J21" s="65"/>
      <c r="K21" s="65"/>
      <c r="L21" s="72" t="str">
        <f ca="1">IF(OR(L20='Utakmice B'!$C$99,L20=""),"",L20+1)</f>
        <v/>
      </c>
      <c r="M21" s="73" t="str">
        <f ca="1">IF(L21&lt;&gt;"",VLOOKUP(L21,'Utakmice B'!$C$10:$F$99,3,FALSE),"")</f>
        <v/>
      </c>
      <c r="N21" s="54"/>
      <c r="O21" s="61"/>
      <c r="P21" s="73" t="str">
        <f ca="1">IF(L21&lt;&gt;"",VLOOKUP(L21,'Utakmice B'!$C$10:$F$99,4,FALSE),"")</f>
        <v/>
      </c>
      <c r="Q21" s="65"/>
      <c r="R21" s="76" t="s">
        <v>42</v>
      </c>
      <c r="S21" s="57"/>
      <c r="T21" s="57"/>
      <c r="U21" s="65"/>
      <c r="V21" s="65"/>
      <c r="W21" s="65"/>
      <c r="X21" s="65"/>
      <c r="Y21" s="65"/>
      <c r="Z21" s="65"/>
      <c r="AA21" s="65"/>
      <c r="AB21" s="65"/>
      <c r="AC21" s="65"/>
    </row>
    <row r="22" spans="1:29" x14ac:dyDescent="0.25">
      <c r="A22" s="65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P22" s="65"/>
      <c r="Q22" s="65"/>
      <c r="R22" s="77" t="s">
        <v>43</v>
      </c>
      <c r="S22" s="60"/>
      <c r="T22" s="60"/>
      <c r="U22" s="65"/>
      <c r="V22" s="65"/>
      <c r="W22" s="65"/>
      <c r="X22" s="65"/>
      <c r="Y22" s="65"/>
      <c r="Z22" s="65"/>
      <c r="AA22" s="65"/>
      <c r="AB22" s="65"/>
      <c r="AC22" s="65"/>
    </row>
    <row r="23" spans="1:29" x14ac:dyDescent="0.25">
      <c r="A23" s="65"/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72"/>
      <c r="M23" s="72"/>
      <c r="N23" s="64"/>
      <c r="O23" s="64"/>
      <c r="P23" s="72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</row>
    <row r="24" spans="1:29" x14ac:dyDescent="0.25">
      <c r="A24" s="65"/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72"/>
      <c r="M24" s="74"/>
      <c r="N24" s="56"/>
      <c r="O24" s="56"/>
      <c r="P24" s="74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</row>
    <row r="25" spans="1:29" x14ac:dyDescent="0.25">
      <c r="A25" s="65"/>
      <c r="B25" s="65"/>
      <c r="C25" s="65"/>
      <c r="D25" s="65"/>
      <c r="E25" s="65"/>
      <c r="F25" s="65"/>
      <c r="G25" s="65"/>
      <c r="H25" s="65"/>
      <c r="I25" s="65"/>
      <c r="J25" s="65"/>
      <c r="K25" s="65"/>
      <c r="L25" s="72"/>
      <c r="M25" s="74"/>
      <c r="N25" s="56"/>
      <c r="O25" s="56"/>
      <c r="P25" s="74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</row>
    <row r="26" spans="1:29" x14ac:dyDescent="0.25">
      <c r="A26" s="65"/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72"/>
      <c r="M26" s="74"/>
      <c r="N26" s="56"/>
      <c r="O26" s="56"/>
      <c r="P26" s="74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</row>
    <row r="27" spans="1:29" x14ac:dyDescent="0.25">
      <c r="A27" s="65"/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72"/>
      <c r="M27" s="74"/>
      <c r="N27" s="56"/>
      <c r="O27" s="56"/>
      <c r="P27" s="74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</row>
    <row r="28" spans="1:29" x14ac:dyDescent="0.25">
      <c r="A28" s="65"/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72"/>
      <c r="M28" s="74"/>
      <c r="N28" s="56"/>
      <c r="O28" s="56"/>
      <c r="P28" s="74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</row>
    <row r="29" spans="1:29" x14ac:dyDescent="0.25">
      <c r="A29" s="65"/>
      <c r="B29" s="65"/>
      <c r="C29" s="65"/>
      <c r="D29" s="65"/>
      <c r="E29" s="65"/>
      <c r="F29" s="65"/>
      <c r="G29" s="65"/>
      <c r="H29" s="65"/>
      <c r="I29" s="65"/>
      <c r="J29" s="65"/>
      <c r="K29" s="65"/>
      <c r="L29" s="72"/>
      <c r="M29" s="74"/>
      <c r="N29" s="56"/>
      <c r="O29" s="56"/>
      <c r="P29" s="74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</row>
    <row r="30" spans="1:29" x14ac:dyDescent="0.25">
      <c r="A30" s="65"/>
      <c r="B30" s="65"/>
      <c r="C30" s="65"/>
      <c r="D30" s="65"/>
      <c r="E30" s="65"/>
      <c r="F30" s="65"/>
      <c r="G30" s="65"/>
      <c r="H30" s="65"/>
      <c r="I30" s="65"/>
      <c r="J30" s="65"/>
      <c r="K30" s="65"/>
      <c r="L30" s="72"/>
      <c r="M30" s="74"/>
      <c r="N30" s="56"/>
      <c r="O30" s="56"/>
      <c r="P30" s="74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</row>
    <row r="31" spans="1:29" x14ac:dyDescent="0.25">
      <c r="A31" s="65"/>
      <c r="B31" s="65"/>
      <c r="C31" s="65"/>
      <c r="D31" s="65"/>
      <c r="E31" s="65"/>
      <c r="F31" s="65"/>
      <c r="G31" s="65"/>
      <c r="H31" s="65"/>
      <c r="I31" s="65"/>
      <c r="J31" s="65"/>
      <c r="K31" s="65"/>
      <c r="L31" s="72"/>
      <c r="M31" s="74"/>
      <c r="N31" s="56"/>
      <c r="O31" s="56"/>
      <c r="P31" s="74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</row>
    <row r="32" spans="1:29" x14ac:dyDescent="0.25">
      <c r="A32" s="65"/>
      <c r="B32" s="65"/>
      <c r="C32" s="65"/>
      <c r="D32" s="65"/>
      <c r="E32" s="65"/>
      <c r="F32" s="65"/>
      <c r="G32" s="65"/>
      <c r="H32" s="65"/>
      <c r="I32" s="65"/>
      <c r="J32" s="65"/>
      <c r="K32" s="65"/>
      <c r="L32" s="72"/>
      <c r="M32" s="74"/>
      <c r="N32" s="56"/>
      <c r="O32" s="56"/>
      <c r="P32" s="74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</row>
    <row r="33" spans="1:29" x14ac:dyDescent="0.25">
      <c r="A33" s="65"/>
      <c r="B33" s="65"/>
      <c r="C33" s="65"/>
      <c r="D33" s="65"/>
      <c r="E33" s="65"/>
      <c r="F33" s="65"/>
      <c r="G33" s="65"/>
      <c r="H33" s="65"/>
      <c r="I33" s="65"/>
      <c r="J33" s="65"/>
      <c r="K33" s="65"/>
      <c r="L33" s="72"/>
      <c r="M33" s="74"/>
      <c r="N33" s="56"/>
      <c r="O33" s="56"/>
      <c r="P33" s="74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</row>
    <row r="34" spans="1:29" x14ac:dyDescent="0.25">
      <c r="A34" s="65"/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72"/>
      <c r="M34" s="74"/>
      <c r="N34" s="56"/>
      <c r="O34" s="56"/>
      <c r="P34" s="74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</row>
    <row r="35" spans="1:29" x14ac:dyDescent="0.25">
      <c r="A35" s="65"/>
      <c r="B35" s="65"/>
      <c r="C35" s="65"/>
      <c r="D35" s="65"/>
      <c r="E35" s="65"/>
      <c r="F35" s="65"/>
      <c r="G35" s="65"/>
      <c r="H35" s="65"/>
      <c r="I35" s="65"/>
      <c r="J35" s="65"/>
      <c r="K35" s="65"/>
      <c r="L35" s="72"/>
      <c r="M35" s="74"/>
      <c r="N35" s="56"/>
      <c r="O35" s="56"/>
      <c r="P35" s="74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</row>
    <row r="36" spans="1:29" x14ac:dyDescent="0.25">
      <c r="A36" s="65"/>
      <c r="B36" s="65"/>
      <c r="C36" s="65"/>
      <c r="D36" s="65"/>
      <c r="E36" s="65"/>
      <c r="F36" s="65"/>
      <c r="G36" s="65"/>
      <c r="H36" s="65"/>
      <c r="I36" s="65"/>
      <c r="J36" s="65"/>
      <c r="K36" s="65"/>
      <c r="L36" s="72"/>
      <c r="M36" s="74"/>
      <c r="N36" s="56"/>
      <c r="O36" s="56"/>
      <c r="P36" s="74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</row>
    <row r="37" spans="1:29" x14ac:dyDescent="0.25">
      <c r="A37" s="65"/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72"/>
      <c r="M37" s="74"/>
      <c r="N37" s="56"/>
      <c r="O37" s="56"/>
      <c r="P37" s="74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</row>
    <row r="38" spans="1:29" x14ac:dyDescent="0.25">
      <c r="A38" s="65"/>
      <c r="B38" s="65"/>
      <c r="C38" s="65"/>
      <c r="D38" s="65"/>
      <c r="E38" s="65"/>
      <c r="F38" s="65"/>
      <c r="G38" s="65"/>
      <c r="H38" s="65"/>
      <c r="I38" s="65"/>
      <c r="J38" s="65"/>
      <c r="K38" s="65"/>
      <c r="L38" s="72"/>
      <c r="M38" s="74"/>
      <c r="N38" s="56"/>
      <c r="O38" s="56"/>
      <c r="P38" s="74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</row>
    <row r="39" spans="1:29" x14ac:dyDescent="0.25">
      <c r="A39" s="65"/>
      <c r="B39" s="65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</row>
  </sheetData>
  <sheetProtection password="E163" sheet="1" objects="1" scenarios="1" selectLockedCells="1"/>
  <mergeCells count="5">
    <mergeCell ref="A5:J5"/>
    <mergeCell ref="N6:O6"/>
    <mergeCell ref="R6:U6"/>
    <mergeCell ref="R12:U12"/>
    <mergeCell ref="R18:U1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11</xdr:col>
                <xdr:colOff>247650</xdr:colOff>
                <xdr:row>1</xdr:row>
                <xdr:rowOff>9525</xdr:rowOff>
              </from>
              <to>
                <xdr:col>12</xdr:col>
                <xdr:colOff>1524000</xdr:colOff>
                <xdr:row>2</xdr:row>
                <xdr:rowOff>152400</xdr:rowOff>
              </to>
            </anchor>
          </controlPr>
        </control>
      </mc:Choice>
      <mc:Fallback>
        <control shapeId="16385" r:id="rId3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" id="{D407DBFC-05A3-438D-99DA-6004E4C690EC}">
            <xm:f>Informacije!$E$11=3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L7:P9</xm:sqref>
        </x14:conditionalFormatting>
        <x14:conditionalFormatting xmlns:xm="http://schemas.microsoft.com/office/excel/2006/main">
          <x14:cfRule type="expression" priority="12" id="{F85D7E22-CEA1-4167-959E-7B3F58AB61E9}">
            <xm:f>Informacije!$E$11=4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expression" priority="13" id="{A4CA0BB2-BE10-4D64-A95D-1E726F7DB9DF}">
            <xm:f>Informacije!$D$13="DA"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L7:P12</xm:sqref>
        </x14:conditionalFormatting>
        <x14:conditionalFormatting xmlns:xm="http://schemas.microsoft.com/office/excel/2006/main">
          <x14:cfRule type="expression" priority="11" id="{5622416A-EF44-47C1-8785-80D22965F4C7}">
            <xm:f>Informacije!$E$11=5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L7:P16</xm:sqref>
        </x14:conditionalFormatting>
        <x14:conditionalFormatting xmlns:xm="http://schemas.microsoft.com/office/excel/2006/main">
          <x14:cfRule type="expression" priority="10" id="{D172A5C2-68E3-48A1-B106-2C170B7180E4}">
            <xm:f>Informacije!$E$11=6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L7:P21</xm:sqref>
        </x14:conditionalFormatting>
        <x14:conditionalFormatting xmlns:xm="http://schemas.microsoft.com/office/excel/2006/main">
          <x14:cfRule type="expression" priority="3" id="{78F6713B-AD04-4105-9F97-7E7BFC8D483B}">
            <xm:f>Informacije!$E$11=3</xm:f>
            <x14:dxf>
              <border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expression" priority="5" id="{7C012BC5-F430-44F7-A67D-1B4E8DBDD474}">
            <xm:f>Informacije!$E$12=3</xm:f>
            <x14:dxf>
              <border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expression" priority="9" id="{851D55A6-BA18-4CD1-93BA-0909F39EAD22}">
            <xm:f>Informacije!$E$12=3</xm:f>
            <x14:dxf>
              <font>
                <b/>
                <i val="0"/>
              </font>
              <fill>
                <patternFill>
                  <bgColor theme="6" tint="0.39994506668294322"/>
                </patternFill>
              </fill>
              <border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A7:J9</xm:sqref>
        </x14:conditionalFormatting>
        <x14:conditionalFormatting xmlns:xm="http://schemas.microsoft.com/office/excel/2006/main">
          <x14:cfRule type="expression" priority="8" id="{55341F94-1021-4830-9BD4-9B8673D688AB}">
            <xm:f>Informacije!$E$12=2</xm:f>
            <x14:dxf>
              <font>
                <b/>
                <i val="0"/>
              </font>
              <fill>
                <patternFill>
                  <bgColor theme="6" tint="0.39994506668294322"/>
                </patternFill>
              </fill>
              <border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A7:J8</xm:sqref>
        </x14:conditionalFormatting>
        <x14:conditionalFormatting xmlns:xm="http://schemas.microsoft.com/office/excel/2006/main">
          <x14:cfRule type="expression" priority="4" id="{B85AC887-CA34-4B4E-B943-0616B26378ED}">
            <xm:f>Informacije!$E$11=4</xm:f>
            <x14:dxf>
              <border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expression" priority="7" id="{B718F70E-747D-482C-8EEB-88209E56273B}">
            <xm:f>Informacije!$E$12=4</xm:f>
            <x14:dxf>
              <font>
                <b/>
                <i val="0"/>
              </font>
              <fill>
                <patternFill>
                  <bgColor theme="6" tint="0.39994506668294322"/>
                </patternFill>
              </fill>
              <border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A7:J10</xm:sqref>
        </x14:conditionalFormatting>
        <x14:conditionalFormatting xmlns:xm="http://schemas.microsoft.com/office/excel/2006/main">
          <x14:cfRule type="expression" priority="6" id="{8F464139-8F74-4E81-B84D-C4F99CF979A4}">
            <xm:f>Informacije!$E$11=5</xm:f>
            <x14:dxf>
              <border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A7:J11</xm:sqref>
        </x14:conditionalFormatting>
        <x14:conditionalFormatting xmlns:xm="http://schemas.microsoft.com/office/excel/2006/main">
          <x14:cfRule type="expression" priority="2" id="{3561698D-2D14-46AD-AE21-6FF4CB978E02}">
            <xm:f>Informacije!$E$11=3</xm:f>
            <x14:dxf>
              <font>
                <color theme="0"/>
              </font>
            </x14:dxf>
          </x14:cfRule>
          <xm:sqref>A10:J11</xm:sqref>
        </x14:conditionalFormatting>
        <x14:conditionalFormatting xmlns:xm="http://schemas.microsoft.com/office/excel/2006/main">
          <x14:cfRule type="expression" priority="1" id="{24AFDAAA-93DF-44AF-865F-35C10F7C2156}">
            <xm:f>Informacije!$E$11=4</xm:f>
            <x14:dxf>
              <font>
                <color theme="0"/>
              </font>
            </x14:dxf>
          </x14:cfRule>
          <xm:sqref>A11:J11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K38"/>
  <sheetViews>
    <sheetView showGridLines="0" workbookViewId="0">
      <selection activeCell="C26" sqref="C26:F27"/>
    </sheetView>
  </sheetViews>
  <sheetFormatPr defaultRowHeight="15" x14ac:dyDescent="0.25"/>
  <cols>
    <col min="1" max="1" width="9.140625" style="51"/>
    <col min="2" max="10" width="6.7109375" style="51" customWidth="1"/>
    <col min="11" max="11" width="9.140625" style="51"/>
    <col min="12" max="30" width="6.7109375" style="51" customWidth="1"/>
    <col min="31" max="16384" width="9.140625" style="51"/>
  </cols>
  <sheetData>
    <row r="1" spans="1:37" x14ac:dyDescent="0.25">
      <c r="A1" s="65"/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5"/>
      <c r="AI1" s="65"/>
      <c r="AJ1" s="65"/>
      <c r="AK1" s="65"/>
    </row>
    <row r="2" spans="1:37" x14ac:dyDescent="0.25">
      <c r="A2" s="65"/>
      <c r="B2" s="65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</row>
    <row r="3" spans="1:37" x14ac:dyDescent="0.25">
      <c r="A3" s="65"/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65"/>
      <c r="AJ3" s="65"/>
      <c r="AK3" s="65"/>
    </row>
    <row r="4" spans="1:37" x14ac:dyDescent="0.25">
      <c r="A4" s="65"/>
      <c r="B4" s="65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65"/>
      <c r="AI4" s="65"/>
      <c r="AJ4" s="65"/>
      <c r="AK4" s="65"/>
    </row>
    <row r="5" spans="1:37" ht="15.75" thickBot="1" x14ac:dyDescent="0.3">
      <c r="A5" s="65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65"/>
      <c r="AK5" s="65"/>
    </row>
    <row r="6" spans="1:37" ht="15.75" thickBot="1" x14ac:dyDescent="0.3">
      <c r="A6" s="65"/>
      <c r="B6" s="144" t="s">
        <v>63</v>
      </c>
      <c r="C6" s="145"/>
      <c r="D6" s="145"/>
      <c r="E6" s="145"/>
      <c r="F6" s="146"/>
      <c r="G6" s="78" t="s">
        <v>60</v>
      </c>
      <c r="H6" s="78" t="s">
        <v>84</v>
      </c>
      <c r="I6" s="78" t="s">
        <v>61</v>
      </c>
      <c r="J6" s="78" t="s">
        <v>62</v>
      </c>
      <c r="K6" s="65"/>
      <c r="U6" s="65"/>
      <c r="V6" s="65"/>
      <c r="W6" s="65"/>
      <c r="X6" s="65"/>
      <c r="Y6" s="65"/>
      <c r="Z6" s="65"/>
      <c r="AE6" s="65"/>
      <c r="AF6" s="65"/>
      <c r="AG6" s="65"/>
      <c r="AH6" s="65"/>
      <c r="AI6" s="65"/>
      <c r="AJ6" s="65"/>
      <c r="AK6" s="65"/>
    </row>
    <row r="7" spans="1:37" ht="15.75" thickBot="1" x14ac:dyDescent="0.3">
      <c r="A7" s="65"/>
      <c r="B7" s="139" t="s">
        <v>68</v>
      </c>
      <c r="C7" s="149" t="str">
        <f ca="1">'Grupa A'!B7</f>
        <v>0 ()</v>
      </c>
      <c r="D7" s="150"/>
      <c r="E7" s="150"/>
      <c r="F7" s="151"/>
      <c r="G7" s="139">
        <f>SUM(H7:J8)</f>
        <v>0</v>
      </c>
      <c r="H7" s="140"/>
      <c r="I7" s="140"/>
      <c r="J7" s="140"/>
      <c r="K7" s="65"/>
      <c r="U7" s="65"/>
      <c r="V7" s="65"/>
      <c r="W7" s="65"/>
      <c r="X7" s="65"/>
      <c r="Y7" s="65"/>
      <c r="Z7" s="65"/>
      <c r="AE7" s="65"/>
      <c r="AF7" s="65"/>
      <c r="AG7" s="65"/>
      <c r="AH7" s="65"/>
      <c r="AI7" s="65"/>
      <c r="AJ7" s="65"/>
      <c r="AK7" s="65"/>
    </row>
    <row r="8" spans="1:37" ht="15.75" thickBot="1" x14ac:dyDescent="0.3">
      <c r="A8" s="65"/>
      <c r="B8" s="139"/>
      <c r="C8" s="152"/>
      <c r="D8" s="153"/>
      <c r="E8" s="153"/>
      <c r="F8" s="154"/>
      <c r="G8" s="139"/>
      <c r="H8" s="140"/>
      <c r="I8" s="140"/>
      <c r="J8" s="140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H8" s="65"/>
      <c r="AI8" s="65"/>
      <c r="AJ8" s="65"/>
      <c r="AK8" s="65"/>
    </row>
    <row r="9" spans="1:37" ht="15.75" thickBot="1" x14ac:dyDescent="0.3">
      <c r="A9" s="65"/>
      <c r="B9" s="139" t="s">
        <v>71</v>
      </c>
      <c r="C9" s="155" t="str">
        <f ca="1">'Grupa B'!B8</f>
        <v>0 ()</v>
      </c>
      <c r="D9" s="155"/>
      <c r="E9" s="155"/>
      <c r="F9" s="155"/>
      <c r="G9" s="139">
        <f>SUM(H9:J10)</f>
        <v>0</v>
      </c>
      <c r="H9" s="140"/>
      <c r="I9" s="140"/>
      <c r="J9" s="140"/>
      <c r="K9" s="65"/>
      <c r="L9" s="141"/>
      <c r="M9" s="142"/>
      <c r="N9" s="142"/>
      <c r="O9" s="142"/>
      <c r="P9" s="143"/>
      <c r="Q9" s="78" t="s">
        <v>60</v>
      </c>
      <c r="R9" s="78" t="s">
        <v>84</v>
      </c>
      <c r="S9" s="78" t="s">
        <v>61</v>
      </c>
      <c r="T9" s="78" t="s">
        <v>62</v>
      </c>
      <c r="U9" s="82"/>
      <c r="V9" s="141"/>
      <c r="W9" s="142"/>
      <c r="X9" s="142"/>
      <c r="Y9" s="142"/>
      <c r="Z9" s="143"/>
      <c r="AA9" s="78" t="s">
        <v>60</v>
      </c>
      <c r="AB9" s="78" t="s">
        <v>84</v>
      </c>
      <c r="AC9" s="78" t="s">
        <v>61</v>
      </c>
      <c r="AD9" s="78" t="s">
        <v>62</v>
      </c>
      <c r="AE9" s="65"/>
      <c r="AF9" s="65"/>
      <c r="AG9" s="65"/>
      <c r="AH9" s="65"/>
      <c r="AI9" s="65"/>
      <c r="AJ9" s="65"/>
      <c r="AK9" s="65"/>
    </row>
    <row r="10" spans="1:37" ht="15.75" customHeight="1" thickBot="1" x14ac:dyDescent="0.3">
      <c r="A10" s="65"/>
      <c r="B10" s="139"/>
      <c r="C10" s="155"/>
      <c r="D10" s="155"/>
      <c r="E10" s="155"/>
      <c r="F10" s="155"/>
      <c r="G10" s="139"/>
      <c r="H10" s="140"/>
      <c r="I10" s="140"/>
      <c r="J10" s="140"/>
      <c r="K10" s="65"/>
      <c r="L10" s="139" t="s">
        <v>85</v>
      </c>
      <c r="M10" s="155" t="str">
        <f>IF(G7=G9," ",IF(G7&lt;G9,C7,C9))</f>
        <v xml:space="preserve"> </v>
      </c>
      <c r="N10" s="155"/>
      <c r="O10" s="155"/>
      <c r="P10" s="155"/>
      <c r="Q10" s="139">
        <f>SUM(R10:T11)</f>
        <v>0</v>
      </c>
      <c r="R10" s="140"/>
      <c r="S10" s="140"/>
      <c r="T10" s="140"/>
      <c r="U10" s="83"/>
      <c r="V10" s="139" t="s">
        <v>76</v>
      </c>
      <c r="W10" s="155" t="str">
        <f>IF(G7=G9," ",IF(G7&gt;G9,C7,C9))</f>
        <v xml:space="preserve"> </v>
      </c>
      <c r="X10" s="155"/>
      <c r="Y10" s="155"/>
      <c r="Z10" s="155"/>
      <c r="AA10" s="139">
        <f>SUM(AB10:AD11)</f>
        <v>0</v>
      </c>
      <c r="AB10" s="140"/>
      <c r="AC10" s="140"/>
      <c r="AD10" s="137"/>
      <c r="AE10" s="65"/>
      <c r="AF10" s="65"/>
      <c r="AG10" s="65"/>
      <c r="AH10" s="65"/>
      <c r="AI10" s="65"/>
      <c r="AJ10" s="65"/>
      <c r="AK10" s="65"/>
    </row>
    <row r="11" spans="1:37" ht="19.5" thickBot="1" x14ac:dyDescent="0.3">
      <c r="A11" s="65"/>
      <c r="B11" s="79"/>
      <c r="C11" s="80"/>
      <c r="D11" s="80"/>
      <c r="E11" s="80"/>
      <c r="F11" s="80"/>
      <c r="G11" s="79"/>
      <c r="H11" s="81"/>
      <c r="I11" s="81"/>
      <c r="J11" s="81"/>
      <c r="K11" s="65"/>
      <c r="L11" s="139"/>
      <c r="M11" s="155"/>
      <c r="N11" s="155"/>
      <c r="O11" s="155"/>
      <c r="P11" s="155"/>
      <c r="Q11" s="139"/>
      <c r="R11" s="140"/>
      <c r="S11" s="140"/>
      <c r="T11" s="140"/>
      <c r="U11" s="83"/>
      <c r="V11" s="139"/>
      <c r="W11" s="155"/>
      <c r="X11" s="155"/>
      <c r="Y11" s="155"/>
      <c r="Z11" s="155"/>
      <c r="AA11" s="139"/>
      <c r="AB11" s="140"/>
      <c r="AC11" s="140"/>
      <c r="AD11" s="138"/>
      <c r="AE11" s="65"/>
      <c r="AF11" s="65"/>
      <c r="AG11" s="65"/>
      <c r="AH11" s="65"/>
      <c r="AI11" s="65"/>
      <c r="AJ11" s="65"/>
      <c r="AK11" s="65"/>
    </row>
    <row r="12" spans="1:37" ht="15.75" customHeight="1" thickBot="1" x14ac:dyDescent="0.3">
      <c r="A12" s="65"/>
      <c r="B12" s="144" t="s">
        <v>29</v>
      </c>
      <c r="C12" s="145"/>
      <c r="D12" s="145"/>
      <c r="E12" s="145"/>
      <c r="F12" s="146"/>
      <c r="G12" s="78" t="s">
        <v>60</v>
      </c>
      <c r="H12" s="78" t="s">
        <v>84</v>
      </c>
      <c r="I12" s="78" t="s">
        <v>61</v>
      </c>
      <c r="J12" s="78" t="s">
        <v>62</v>
      </c>
      <c r="K12" s="65"/>
      <c r="L12" s="139" t="s">
        <v>86</v>
      </c>
      <c r="M12" s="155" t="str">
        <f>IF(G13=G15," ",IF(G13&lt;G15,C13,C15))</f>
        <v xml:space="preserve"> </v>
      </c>
      <c r="N12" s="155"/>
      <c r="O12" s="155"/>
      <c r="P12" s="155"/>
      <c r="Q12" s="139">
        <f>SUM(R12:T13)</f>
        <v>0</v>
      </c>
      <c r="R12" s="140"/>
      <c r="S12" s="140"/>
      <c r="T12" s="140"/>
      <c r="U12" s="83"/>
      <c r="V12" s="139" t="s">
        <v>77</v>
      </c>
      <c r="W12" s="155" t="str">
        <f>IF(G13=G15," ",IF(G13&gt;G15,C13,C15))</f>
        <v xml:space="preserve"> </v>
      </c>
      <c r="X12" s="155"/>
      <c r="Y12" s="155"/>
      <c r="Z12" s="155"/>
      <c r="AA12" s="139">
        <f>SUM(AB12:AD13)</f>
        <v>0</v>
      </c>
      <c r="AB12" s="140"/>
      <c r="AC12" s="140"/>
      <c r="AD12" s="137"/>
      <c r="AE12" s="65"/>
      <c r="AF12" s="65"/>
      <c r="AG12" s="65"/>
      <c r="AH12" s="65"/>
      <c r="AI12" s="65"/>
      <c r="AJ12" s="65"/>
      <c r="AK12" s="65"/>
    </row>
    <row r="13" spans="1:37" ht="15.75" customHeight="1" thickBot="1" x14ac:dyDescent="0.3">
      <c r="A13" s="65"/>
      <c r="B13" s="139" t="s">
        <v>69</v>
      </c>
      <c r="C13" s="155" t="str">
        <f ca="1">'Grupa B'!B7</f>
        <v>0 ()</v>
      </c>
      <c r="D13" s="155"/>
      <c r="E13" s="155"/>
      <c r="F13" s="155"/>
      <c r="G13" s="139">
        <f>SUM(H13:J14)</f>
        <v>0</v>
      </c>
      <c r="H13" s="140"/>
      <c r="I13" s="140"/>
      <c r="J13" s="140"/>
      <c r="K13" s="65"/>
      <c r="L13" s="139"/>
      <c r="M13" s="155"/>
      <c r="N13" s="155"/>
      <c r="O13" s="155"/>
      <c r="P13" s="155"/>
      <c r="Q13" s="139"/>
      <c r="R13" s="140"/>
      <c r="S13" s="140"/>
      <c r="T13" s="140"/>
      <c r="U13" s="83"/>
      <c r="V13" s="139"/>
      <c r="W13" s="155"/>
      <c r="X13" s="155"/>
      <c r="Y13" s="155"/>
      <c r="Z13" s="155"/>
      <c r="AA13" s="139"/>
      <c r="AB13" s="140"/>
      <c r="AC13" s="140"/>
      <c r="AD13" s="138"/>
      <c r="AE13" s="65"/>
      <c r="AF13" s="65"/>
      <c r="AG13" s="65"/>
      <c r="AH13" s="65"/>
      <c r="AI13" s="65"/>
      <c r="AJ13" s="65"/>
      <c r="AK13" s="65"/>
    </row>
    <row r="14" spans="1:37" ht="15.75" thickBot="1" x14ac:dyDescent="0.3">
      <c r="A14" s="65"/>
      <c r="B14" s="139"/>
      <c r="C14" s="155"/>
      <c r="D14" s="155"/>
      <c r="E14" s="155"/>
      <c r="F14" s="155"/>
      <c r="G14" s="139"/>
      <c r="H14" s="140"/>
      <c r="I14" s="140"/>
      <c r="J14" s="140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H14" s="65"/>
      <c r="AI14" s="65"/>
      <c r="AJ14" s="65"/>
      <c r="AK14" s="65"/>
    </row>
    <row r="15" spans="1:37" ht="15.75" thickBot="1" x14ac:dyDescent="0.3">
      <c r="A15" s="65"/>
      <c r="B15" s="139" t="s">
        <v>74</v>
      </c>
      <c r="C15" s="155" t="str">
        <f ca="1">'Grupa A'!B8</f>
        <v>0 ()</v>
      </c>
      <c r="D15" s="155"/>
      <c r="E15" s="155"/>
      <c r="F15" s="155"/>
      <c r="G15" s="139">
        <f>SUM(H15:J16)</f>
        <v>0</v>
      </c>
      <c r="H15" s="140"/>
      <c r="I15" s="140"/>
      <c r="J15" s="140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H15" s="65"/>
      <c r="AI15" s="65"/>
      <c r="AJ15" s="65"/>
      <c r="AK15" s="65"/>
    </row>
    <row r="16" spans="1:37" ht="15.75" thickBot="1" x14ac:dyDescent="0.3">
      <c r="A16" s="65"/>
      <c r="B16" s="139"/>
      <c r="C16" s="155"/>
      <c r="D16" s="155"/>
      <c r="E16" s="155"/>
      <c r="F16" s="155"/>
      <c r="G16" s="139"/>
      <c r="H16" s="140"/>
      <c r="I16" s="140"/>
      <c r="J16" s="140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H16" s="65"/>
      <c r="AI16" s="65"/>
      <c r="AJ16" s="65"/>
      <c r="AK16" s="65"/>
    </row>
    <row r="17" spans="1:37" x14ac:dyDescent="0.25">
      <c r="A17" s="65"/>
      <c r="B17" s="65"/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H17" s="65"/>
      <c r="AI17" s="65"/>
      <c r="AJ17" s="65"/>
      <c r="AK17" s="65"/>
    </row>
    <row r="18" spans="1:37" x14ac:dyDescent="0.25">
      <c r="A18" s="65"/>
      <c r="B18" s="65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H18" s="65"/>
      <c r="AI18" s="65"/>
      <c r="AJ18" s="65"/>
      <c r="AK18" s="65"/>
    </row>
    <row r="19" spans="1:37" x14ac:dyDescent="0.25">
      <c r="A19" s="65"/>
      <c r="B19" s="65"/>
      <c r="C19" s="65"/>
      <c r="D19" s="65"/>
      <c r="E19" s="65"/>
      <c r="F19" s="65"/>
      <c r="G19" s="65"/>
      <c r="H19" s="65"/>
      <c r="I19" s="65"/>
      <c r="J19" s="65"/>
      <c r="K19" s="65"/>
      <c r="L19" s="125" t="s">
        <v>90</v>
      </c>
      <c r="M19" s="148" t="str">
        <f>IF(AA10&gt;AA12,W10,W12)</f>
        <v xml:space="preserve"> </v>
      </c>
      <c r="N19" s="148"/>
      <c r="O19" s="148"/>
      <c r="P19" s="148"/>
      <c r="Q19" s="125">
        <v>6</v>
      </c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H19" s="65"/>
      <c r="AI19" s="65"/>
      <c r="AJ19" s="65"/>
      <c r="AK19" s="65"/>
    </row>
    <row r="20" spans="1:37" x14ac:dyDescent="0.25">
      <c r="A20" s="65"/>
      <c r="B20" s="65"/>
      <c r="C20" s="65"/>
      <c r="D20" s="65"/>
      <c r="E20" s="65"/>
      <c r="F20" s="65"/>
      <c r="G20" s="65"/>
      <c r="H20" s="65"/>
      <c r="I20" s="65"/>
      <c r="J20" s="65"/>
      <c r="K20" s="65"/>
      <c r="L20" s="126" t="s">
        <v>91</v>
      </c>
      <c r="M20" s="147" t="str">
        <f>IF(AA10&lt;AA12,W10,W12)</f>
        <v xml:space="preserve"> </v>
      </c>
      <c r="N20" s="147"/>
      <c r="O20" s="147"/>
      <c r="P20" s="147"/>
      <c r="Q20" s="126">
        <v>5</v>
      </c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  <c r="AI20" s="65"/>
      <c r="AJ20" s="65"/>
      <c r="AK20" s="65"/>
    </row>
    <row r="21" spans="1:37" x14ac:dyDescent="0.25">
      <c r="A21" s="65"/>
      <c r="B21" s="65"/>
      <c r="C21" s="65"/>
      <c r="D21" s="65"/>
      <c r="E21" s="65"/>
      <c r="F21" s="65"/>
      <c r="G21" s="65"/>
      <c r="H21" s="65"/>
      <c r="I21" s="65"/>
      <c r="J21" s="65"/>
      <c r="K21" s="65"/>
      <c r="L21" s="126" t="s">
        <v>92</v>
      </c>
      <c r="M21" s="147" t="str">
        <f>IF(Q10&gt;Q12,M10,M12)</f>
        <v xml:space="preserve"> </v>
      </c>
      <c r="N21" s="147"/>
      <c r="O21" s="147"/>
      <c r="P21" s="147"/>
      <c r="Q21" s="126">
        <v>4</v>
      </c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H21" s="65"/>
      <c r="AI21" s="65"/>
      <c r="AJ21" s="65"/>
      <c r="AK21" s="65"/>
    </row>
    <row r="22" spans="1:37" ht="15.75" thickBot="1" x14ac:dyDescent="0.3">
      <c r="A22" s="65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126" t="s">
        <v>93</v>
      </c>
      <c r="M22" s="147" t="str">
        <f>IF(Q10&lt;Q12,M10,M12)</f>
        <v xml:space="preserve"> </v>
      </c>
      <c r="N22" s="147"/>
      <c r="O22" s="147"/>
      <c r="P22" s="147"/>
      <c r="Q22" s="126">
        <v>3</v>
      </c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65"/>
      <c r="AK22" s="65"/>
    </row>
    <row r="23" spans="1:37" ht="15.75" thickBot="1" x14ac:dyDescent="0.3">
      <c r="A23" s="65"/>
      <c r="B23" s="144"/>
      <c r="C23" s="145"/>
      <c r="D23" s="145"/>
      <c r="E23" s="145"/>
      <c r="F23" s="146"/>
      <c r="G23" s="78" t="s">
        <v>60</v>
      </c>
      <c r="H23" s="78" t="s">
        <v>84</v>
      </c>
      <c r="I23" s="78" t="s">
        <v>61</v>
      </c>
      <c r="J23" s="78" t="s">
        <v>62</v>
      </c>
      <c r="K23" s="65"/>
      <c r="L23" s="126" t="s">
        <v>94</v>
      </c>
      <c r="M23" s="147" t="str">
        <f ca="1">IF(G24&gt;G26,C24,C26)</f>
        <v>0 ()</v>
      </c>
      <c r="N23" s="147"/>
      <c r="O23" s="147"/>
      <c r="P23" s="147"/>
      <c r="Q23" s="126">
        <v>2</v>
      </c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H23" s="65"/>
      <c r="AI23" s="65"/>
      <c r="AJ23" s="65"/>
      <c r="AK23" s="65"/>
    </row>
    <row r="24" spans="1:37" ht="15.75" thickBot="1" x14ac:dyDescent="0.3">
      <c r="A24" s="65"/>
      <c r="B24" s="139" t="s">
        <v>72</v>
      </c>
      <c r="C24" s="149" t="str">
        <f ca="1">'Grupa A'!B9</f>
        <v>0 ()</v>
      </c>
      <c r="D24" s="150"/>
      <c r="E24" s="150"/>
      <c r="F24" s="151"/>
      <c r="G24" s="139">
        <f>SUM(H24:J25)</f>
        <v>0</v>
      </c>
      <c r="H24" s="140"/>
      <c r="I24" s="140"/>
      <c r="J24" s="140"/>
      <c r="K24" s="65"/>
      <c r="L24" s="126" t="s">
        <v>95</v>
      </c>
      <c r="M24" s="147" t="str">
        <f ca="1">IF(G24&lt;G26,C24,C26)</f>
        <v>0 ()</v>
      </c>
      <c r="N24" s="147"/>
      <c r="O24" s="147"/>
      <c r="P24" s="147"/>
      <c r="Q24" s="126">
        <v>1</v>
      </c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65"/>
      <c r="AK24" s="65"/>
    </row>
    <row r="25" spans="1:37" ht="15.75" thickBot="1" x14ac:dyDescent="0.3">
      <c r="A25" s="65"/>
      <c r="B25" s="139"/>
      <c r="C25" s="152"/>
      <c r="D25" s="153"/>
      <c r="E25" s="153"/>
      <c r="F25" s="154"/>
      <c r="G25" s="139"/>
      <c r="H25" s="140"/>
      <c r="I25" s="140"/>
      <c r="J25" s="140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65"/>
      <c r="AK25" s="65"/>
    </row>
    <row r="26" spans="1:37" ht="15.75" thickBot="1" x14ac:dyDescent="0.3">
      <c r="A26" s="65"/>
      <c r="B26" s="139" t="s">
        <v>75</v>
      </c>
      <c r="C26" s="155" t="str">
        <f ca="1">'Grupa B'!B9</f>
        <v>0 ()</v>
      </c>
      <c r="D26" s="155"/>
      <c r="E26" s="155"/>
      <c r="F26" s="155"/>
      <c r="G26" s="139">
        <f>SUM(H26:J27)</f>
        <v>0</v>
      </c>
      <c r="H26" s="140"/>
      <c r="I26" s="140"/>
      <c r="J26" s="140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65"/>
      <c r="AK26" s="65"/>
    </row>
    <row r="27" spans="1:37" ht="15.75" thickBot="1" x14ac:dyDescent="0.3">
      <c r="A27" s="65"/>
      <c r="B27" s="139"/>
      <c r="C27" s="155"/>
      <c r="D27" s="155"/>
      <c r="E27" s="155"/>
      <c r="F27" s="155"/>
      <c r="G27" s="139"/>
      <c r="H27" s="140"/>
      <c r="I27" s="140"/>
      <c r="J27" s="140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H27" s="65"/>
      <c r="AI27" s="65"/>
      <c r="AJ27" s="65"/>
      <c r="AK27" s="65"/>
    </row>
    <row r="28" spans="1:37" x14ac:dyDescent="0.25">
      <c r="A28" s="65"/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H28" s="65"/>
      <c r="AI28" s="65"/>
      <c r="AJ28" s="65"/>
      <c r="AK28" s="65"/>
    </row>
    <row r="29" spans="1:37" x14ac:dyDescent="0.25">
      <c r="A29" s="65"/>
      <c r="B29" s="65"/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H29" s="65"/>
      <c r="AI29" s="65"/>
      <c r="AJ29" s="65"/>
      <c r="AK29" s="65"/>
    </row>
    <row r="30" spans="1:37" x14ac:dyDescent="0.25">
      <c r="A30" s="65"/>
      <c r="B30" s="65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65"/>
      <c r="AI30" s="65"/>
      <c r="AJ30" s="65"/>
      <c r="AK30" s="65"/>
    </row>
    <row r="31" spans="1:37" x14ac:dyDescent="0.25">
      <c r="A31" s="65"/>
      <c r="B31" s="65"/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H31" s="65"/>
      <c r="AI31" s="65"/>
      <c r="AJ31" s="65"/>
      <c r="AK31" s="65"/>
    </row>
    <row r="32" spans="1:37" x14ac:dyDescent="0.25">
      <c r="A32" s="65"/>
      <c r="B32" s="65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</row>
    <row r="33" spans="1:37" x14ac:dyDescent="0.25">
      <c r="A33" s="65"/>
      <c r="B33" s="65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65"/>
      <c r="AK33" s="65"/>
    </row>
    <row r="34" spans="1:37" x14ac:dyDescent="0.25">
      <c r="A34" s="65"/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65"/>
      <c r="AK34" s="65"/>
    </row>
    <row r="35" spans="1:37" x14ac:dyDescent="0.25">
      <c r="A35" s="65"/>
      <c r="B35" s="65"/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  <c r="AJ35" s="65"/>
      <c r="AK35" s="65"/>
    </row>
    <row r="36" spans="1:37" x14ac:dyDescent="0.25">
      <c r="A36" s="65"/>
      <c r="B36" s="65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65"/>
      <c r="AK36" s="65"/>
    </row>
    <row r="37" spans="1:37" x14ac:dyDescent="0.25">
      <c r="A37" s="65"/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65"/>
      <c r="AK37" s="65"/>
    </row>
    <row r="38" spans="1:37" x14ac:dyDescent="0.25">
      <c r="A38" s="65"/>
      <c r="B38" s="65"/>
      <c r="C38" s="65"/>
      <c r="D38" s="65"/>
      <c r="E38" s="65"/>
      <c r="F38" s="65"/>
      <c r="G38" s="65"/>
      <c r="K38" s="65"/>
    </row>
  </sheetData>
  <sheetProtection password="E163" sheet="1" objects="1" scenarios="1"/>
  <mergeCells count="71">
    <mergeCell ref="M24:P24"/>
    <mergeCell ref="M19:P19"/>
    <mergeCell ref="M20:P20"/>
    <mergeCell ref="M21:P21"/>
    <mergeCell ref="M22:P22"/>
    <mergeCell ref="M23:P23"/>
    <mergeCell ref="I24:I25"/>
    <mergeCell ref="J24:J25"/>
    <mergeCell ref="B26:B27"/>
    <mergeCell ref="C26:F27"/>
    <mergeCell ref="G26:G27"/>
    <mergeCell ref="H26:H27"/>
    <mergeCell ref="I26:I27"/>
    <mergeCell ref="J26:J27"/>
    <mergeCell ref="B23:F23"/>
    <mergeCell ref="B24:B25"/>
    <mergeCell ref="C24:F25"/>
    <mergeCell ref="G24:G25"/>
    <mergeCell ref="H24:H25"/>
    <mergeCell ref="B6:F6"/>
    <mergeCell ref="B7:B8"/>
    <mergeCell ref="C7:F8"/>
    <mergeCell ref="G7:G8"/>
    <mergeCell ref="H7:H8"/>
    <mergeCell ref="J7:J8"/>
    <mergeCell ref="B9:B10"/>
    <mergeCell ref="C9:F10"/>
    <mergeCell ref="G9:G10"/>
    <mergeCell ref="H9:H10"/>
    <mergeCell ref="I9:I10"/>
    <mergeCell ref="J9:J10"/>
    <mergeCell ref="I7:I8"/>
    <mergeCell ref="B12:F12"/>
    <mergeCell ref="B13:B14"/>
    <mergeCell ref="C13:F14"/>
    <mergeCell ref="G13:G14"/>
    <mergeCell ref="H13:H14"/>
    <mergeCell ref="J13:J14"/>
    <mergeCell ref="B15:B16"/>
    <mergeCell ref="C15:F16"/>
    <mergeCell ref="G15:G16"/>
    <mergeCell ref="H15:H16"/>
    <mergeCell ref="I15:I16"/>
    <mergeCell ref="J15:J16"/>
    <mergeCell ref="I13:I14"/>
    <mergeCell ref="L9:P9"/>
    <mergeCell ref="L10:L11"/>
    <mergeCell ref="M10:P11"/>
    <mergeCell ref="Q10:Q11"/>
    <mergeCell ref="R10:R11"/>
    <mergeCell ref="T10:T11"/>
    <mergeCell ref="L12:L13"/>
    <mergeCell ref="M12:P13"/>
    <mergeCell ref="Q12:Q13"/>
    <mergeCell ref="R12:R13"/>
    <mergeCell ref="S12:S13"/>
    <mergeCell ref="T12:T13"/>
    <mergeCell ref="S10:S11"/>
    <mergeCell ref="V9:Z9"/>
    <mergeCell ref="V10:V11"/>
    <mergeCell ref="W10:Z11"/>
    <mergeCell ref="AA10:AA11"/>
    <mergeCell ref="AB10:AB11"/>
    <mergeCell ref="AD10:AD11"/>
    <mergeCell ref="V12:V13"/>
    <mergeCell ref="W12:Z13"/>
    <mergeCell ref="AA12:AA13"/>
    <mergeCell ref="AB12:AB13"/>
    <mergeCell ref="AC12:AC13"/>
    <mergeCell ref="AD12:AD13"/>
    <mergeCell ref="AC10:AC11"/>
  </mergeCells>
  <pageMargins left="0.7" right="0.7" top="0.75" bottom="0.75" header="0.3" footer="0.3"/>
  <pageSetup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I101"/>
  <sheetViews>
    <sheetView showGridLines="0" workbookViewId="0">
      <selection activeCell="W13" sqref="W13:Z14"/>
    </sheetView>
  </sheetViews>
  <sheetFormatPr defaultRowHeight="15" x14ac:dyDescent="0.25"/>
  <cols>
    <col min="1" max="1" width="9.140625" style="65"/>
    <col min="2" max="7" width="6.7109375" style="65" customWidth="1"/>
    <col min="8" max="10" width="6.7109375" style="51" customWidth="1"/>
    <col min="11" max="11" width="7.28515625" style="65" customWidth="1"/>
    <col min="12" max="17" width="6.7109375" style="65" customWidth="1"/>
    <col min="18" max="20" width="6.7109375" style="51" customWidth="1"/>
    <col min="21" max="21" width="6.42578125" style="65" customWidth="1"/>
    <col min="22" max="27" width="6.7109375" style="65" customWidth="1"/>
    <col min="28" max="30" width="6.7109375" style="51" customWidth="1"/>
    <col min="31" max="87" width="9.140625" style="65"/>
    <col min="88" max="16384" width="9.140625" style="51"/>
  </cols>
  <sheetData>
    <row r="1" spans="2:30" s="65" customFormat="1" x14ac:dyDescent="0.25"/>
    <row r="2" spans="2:30" s="65" customFormat="1" x14ac:dyDescent="0.25"/>
    <row r="3" spans="2:30" s="65" customFormat="1" x14ac:dyDescent="0.25"/>
    <row r="4" spans="2:30" s="65" customFormat="1" x14ac:dyDescent="0.25"/>
    <row r="5" spans="2:30" s="65" customFormat="1" ht="15.75" thickBot="1" x14ac:dyDescent="0.3"/>
    <row r="6" spans="2:30" s="65" customFormat="1" ht="15.75" thickBot="1" x14ac:dyDescent="0.3">
      <c r="B6" s="144" t="s">
        <v>63</v>
      </c>
      <c r="C6" s="145"/>
      <c r="D6" s="145"/>
      <c r="E6" s="145"/>
      <c r="F6" s="146"/>
      <c r="G6" s="78" t="s">
        <v>60</v>
      </c>
      <c r="H6" s="78" t="s">
        <v>84</v>
      </c>
      <c r="I6" s="78" t="s">
        <v>61</v>
      </c>
      <c r="J6" s="78" t="s">
        <v>62</v>
      </c>
    </row>
    <row r="7" spans="2:30" ht="15.75" thickBot="1" x14ac:dyDescent="0.3">
      <c r="B7" s="139" t="s">
        <v>68</v>
      </c>
      <c r="C7" s="149" t="str">
        <f ca="1">'Grupa A'!B7</f>
        <v>0 ()</v>
      </c>
      <c r="D7" s="150"/>
      <c r="E7" s="150"/>
      <c r="F7" s="151"/>
      <c r="G7" s="139">
        <f>SUM(H7:J8)</f>
        <v>0</v>
      </c>
      <c r="H7" s="140"/>
      <c r="I7" s="140"/>
      <c r="J7" s="140"/>
    </row>
    <row r="8" spans="2:30" ht="15.75" thickBot="1" x14ac:dyDescent="0.3">
      <c r="B8" s="139"/>
      <c r="C8" s="152"/>
      <c r="D8" s="153"/>
      <c r="E8" s="153"/>
      <c r="F8" s="154"/>
      <c r="G8" s="139"/>
      <c r="H8" s="140"/>
      <c r="I8" s="140"/>
      <c r="J8" s="140"/>
    </row>
    <row r="9" spans="2:30" ht="15.75" thickBot="1" x14ac:dyDescent="0.3">
      <c r="B9" s="139" t="s">
        <v>71</v>
      </c>
      <c r="C9" s="155" t="str">
        <f ca="1">'Grupa B'!B8</f>
        <v>0 ()</v>
      </c>
      <c r="D9" s="155"/>
      <c r="E9" s="155"/>
      <c r="F9" s="155"/>
      <c r="G9" s="139">
        <f>SUM(H9:J10)</f>
        <v>0</v>
      </c>
      <c r="H9" s="140"/>
      <c r="I9" s="140"/>
      <c r="J9" s="140"/>
      <c r="R9" s="65"/>
      <c r="S9" s="65"/>
      <c r="T9" s="65"/>
      <c r="AB9" s="65"/>
      <c r="AC9" s="65"/>
      <c r="AD9" s="65"/>
    </row>
    <row r="10" spans="2:30" ht="15.75" thickBot="1" x14ac:dyDescent="0.3">
      <c r="B10" s="139"/>
      <c r="C10" s="155"/>
      <c r="D10" s="155"/>
      <c r="E10" s="155"/>
      <c r="F10" s="155"/>
      <c r="G10" s="139"/>
      <c r="H10" s="140"/>
      <c r="I10" s="140"/>
      <c r="J10" s="140"/>
      <c r="L10" s="141"/>
      <c r="M10" s="142"/>
      <c r="N10" s="142"/>
      <c r="O10" s="142"/>
      <c r="P10" s="143"/>
      <c r="Q10" s="78" t="s">
        <v>60</v>
      </c>
      <c r="R10" s="78" t="s">
        <v>84</v>
      </c>
      <c r="S10" s="78" t="s">
        <v>61</v>
      </c>
      <c r="T10" s="78" t="s">
        <v>62</v>
      </c>
      <c r="V10" s="141"/>
      <c r="W10" s="142"/>
      <c r="X10" s="142"/>
      <c r="Y10" s="142"/>
      <c r="Z10" s="143"/>
      <c r="AA10" s="78" t="s">
        <v>60</v>
      </c>
      <c r="AB10" s="78" t="s">
        <v>84</v>
      </c>
      <c r="AC10" s="78" t="s">
        <v>61</v>
      </c>
      <c r="AD10" s="78" t="s">
        <v>62</v>
      </c>
    </row>
    <row r="11" spans="2:30" ht="19.5" thickBot="1" x14ac:dyDescent="0.3">
      <c r="B11" s="79"/>
      <c r="C11" s="80"/>
      <c r="D11" s="80"/>
      <c r="E11" s="80"/>
      <c r="F11" s="80"/>
      <c r="G11" s="79"/>
      <c r="H11" s="81"/>
      <c r="I11" s="81"/>
      <c r="J11" s="81"/>
      <c r="L11" s="139" t="s">
        <v>85</v>
      </c>
      <c r="M11" s="155" t="str">
        <f>IF(G7=G9," ",IF(G7&lt;G9,C7,C9))</f>
        <v xml:space="preserve"> </v>
      </c>
      <c r="N11" s="155"/>
      <c r="O11" s="155"/>
      <c r="P11" s="155"/>
      <c r="Q11" s="139">
        <f>SUM(R11:T12)</f>
        <v>0</v>
      </c>
      <c r="R11" s="140"/>
      <c r="S11" s="140"/>
      <c r="T11" s="140"/>
      <c r="V11" s="139" t="s">
        <v>76</v>
      </c>
      <c r="W11" s="155" t="str">
        <f>IF(G7=G9," ",IF(G7&gt;G9,C7,C9))</f>
        <v xml:space="preserve"> </v>
      </c>
      <c r="X11" s="155"/>
      <c r="Y11" s="155"/>
      <c r="Z11" s="155"/>
      <c r="AA11" s="139">
        <f>SUM(AB11:AD12)</f>
        <v>0</v>
      </c>
      <c r="AB11" s="140"/>
      <c r="AC11" s="140"/>
      <c r="AD11" s="137"/>
    </row>
    <row r="12" spans="2:30" ht="15.75" customHeight="1" thickBot="1" x14ac:dyDescent="0.3">
      <c r="B12" s="144" t="s">
        <v>29</v>
      </c>
      <c r="C12" s="145"/>
      <c r="D12" s="145"/>
      <c r="E12" s="145"/>
      <c r="F12" s="146"/>
      <c r="G12" s="78" t="s">
        <v>60</v>
      </c>
      <c r="H12" s="78" t="s">
        <v>84</v>
      </c>
      <c r="I12" s="78" t="s">
        <v>61</v>
      </c>
      <c r="J12" s="78" t="s">
        <v>62</v>
      </c>
      <c r="L12" s="139"/>
      <c r="M12" s="155"/>
      <c r="N12" s="155"/>
      <c r="O12" s="155"/>
      <c r="P12" s="155"/>
      <c r="Q12" s="139"/>
      <c r="R12" s="140"/>
      <c r="S12" s="140"/>
      <c r="T12" s="140"/>
      <c r="V12" s="139"/>
      <c r="W12" s="155"/>
      <c r="X12" s="155"/>
      <c r="Y12" s="155"/>
      <c r="Z12" s="155"/>
      <c r="AA12" s="139"/>
      <c r="AB12" s="140"/>
      <c r="AC12" s="140"/>
      <c r="AD12" s="138"/>
    </row>
    <row r="13" spans="2:30" ht="15.75" customHeight="1" thickBot="1" x14ac:dyDescent="0.3">
      <c r="B13" s="139" t="s">
        <v>69</v>
      </c>
      <c r="C13" s="155" t="str">
        <f ca="1">'Grupa B'!B7</f>
        <v>0 ()</v>
      </c>
      <c r="D13" s="155"/>
      <c r="E13" s="155"/>
      <c r="F13" s="155"/>
      <c r="G13" s="139">
        <f>SUM(H13:J14)</f>
        <v>0</v>
      </c>
      <c r="H13" s="140"/>
      <c r="I13" s="140"/>
      <c r="J13" s="140"/>
      <c r="L13" s="139" t="s">
        <v>86</v>
      </c>
      <c r="M13" s="155" t="str">
        <f>IF(G13=G15," ",IF(G13&lt;G15,C13,C15))</f>
        <v xml:space="preserve"> </v>
      </c>
      <c r="N13" s="155"/>
      <c r="O13" s="155"/>
      <c r="P13" s="155"/>
      <c r="Q13" s="139">
        <f>SUM(R13:T14)</f>
        <v>0</v>
      </c>
      <c r="R13" s="140"/>
      <c r="S13" s="140"/>
      <c r="T13" s="140"/>
      <c r="V13" s="139" t="s">
        <v>77</v>
      </c>
      <c r="W13" s="155" t="str">
        <f>IF(G13=G15," ",IF(G13&gt;G15,C13,C15))</f>
        <v xml:space="preserve"> </v>
      </c>
      <c r="X13" s="155"/>
      <c r="Y13" s="155"/>
      <c r="Z13" s="155"/>
      <c r="AA13" s="139">
        <f>SUM(AB13:AD14)</f>
        <v>0</v>
      </c>
      <c r="AB13" s="140"/>
      <c r="AC13" s="140"/>
      <c r="AD13" s="137"/>
    </row>
    <row r="14" spans="2:30" ht="15.75" customHeight="1" thickBot="1" x14ac:dyDescent="0.3">
      <c r="B14" s="139"/>
      <c r="C14" s="155"/>
      <c r="D14" s="155"/>
      <c r="E14" s="155"/>
      <c r="F14" s="155"/>
      <c r="G14" s="139"/>
      <c r="H14" s="140"/>
      <c r="I14" s="140"/>
      <c r="J14" s="140"/>
      <c r="L14" s="139"/>
      <c r="M14" s="155"/>
      <c r="N14" s="155"/>
      <c r="O14" s="155"/>
      <c r="P14" s="155"/>
      <c r="Q14" s="139"/>
      <c r="R14" s="140"/>
      <c r="S14" s="140"/>
      <c r="T14" s="140"/>
      <c r="V14" s="139"/>
      <c r="W14" s="155"/>
      <c r="X14" s="155"/>
      <c r="Y14" s="155"/>
      <c r="Z14" s="155"/>
      <c r="AA14" s="139"/>
      <c r="AB14" s="140"/>
      <c r="AC14" s="140"/>
      <c r="AD14" s="138"/>
    </row>
    <row r="15" spans="2:30" ht="15.75" thickBot="1" x14ac:dyDescent="0.3">
      <c r="B15" s="139" t="s">
        <v>74</v>
      </c>
      <c r="C15" s="155" t="str">
        <f ca="1">'Grupa A'!B8</f>
        <v>0 ()</v>
      </c>
      <c r="D15" s="155"/>
      <c r="E15" s="155"/>
      <c r="F15" s="155"/>
      <c r="G15" s="139">
        <f>SUM(H15:J16)</f>
        <v>0</v>
      </c>
      <c r="H15" s="140"/>
      <c r="I15" s="140"/>
      <c r="J15" s="140"/>
      <c r="R15" s="65"/>
      <c r="S15" s="65"/>
      <c r="T15" s="65"/>
      <c r="AB15" s="65"/>
      <c r="AC15" s="65"/>
      <c r="AD15" s="65"/>
    </row>
    <row r="16" spans="2:30" ht="15.75" thickBot="1" x14ac:dyDescent="0.3">
      <c r="B16" s="139"/>
      <c r="C16" s="155"/>
      <c r="D16" s="155"/>
      <c r="E16" s="155"/>
      <c r="F16" s="155"/>
      <c r="G16" s="139"/>
      <c r="H16" s="140"/>
      <c r="I16" s="140"/>
      <c r="J16" s="140"/>
      <c r="R16" s="65"/>
      <c r="S16" s="65"/>
      <c r="T16" s="65"/>
      <c r="AB16" s="65"/>
      <c r="AC16" s="65"/>
      <c r="AD16" s="65"/>
    </row>
    <row r="17" spans="2:17" s="65" customFormat="1" x14ac:dyDescent="0.25"/>
    <row r="18" spans="2:17" s="65" customFormat="1" x14ac:dyDescent="0.25">
      <c r="L18" s="125" t="s">
        <v>90</v>
      </c>
      <c r="M18" s="148" t="str">
        <f>IF(AA11&gt;AA13,W11,W13)</f>
        <v xml:space="preserve"> </v>
      </c>
      <c r="N18" s="148"/>
      <c r="O18" s="148"/>
      <c r="P18" s="148"/>
      <c r="Q18" s="125">
        <v>7</v>
      </c>
    </row>
    <row r="19" spans="2:17" s="65" customFormat="1" x14ac:dyDescent="0.25">
      <c r="L19" s="126" t="s">
        <v>91</v>
      </c>
      <c r="M19" s="147" t="str">
        <f>IF(AA11&lt;AA13,W11,W13)</f>
        <v xml:space="preserve"> </v>
      </c>
      <c r="N19" s="147"/>
      <c r="O19" s="147"/>
      <c r="P19" s="147"/>
      <c r="Q19" s="126">
        <v>6</v>
      </c>
    </row>
    <row r="20" spans="2:17" s="65" customFormat="1" x14ac:dyDescent="0.25">
      <c r="L20" s="126" t="s">
        <v>92</v>
      </c>
      <c r="M20" s="147" t="str">
        <f>IF(Q11&gt;Q13,M11,M13)</f>
        <v xml:space="preserve"> </v>
      </c>
      <c r="N20" s="147"/>
      <c r="O20" s="147"/>
      <c r="P20" s="147"/>
      <c r="Q20" s="126">
        <v>5</v>
      </c>
    </row>
    <row r="21" spans="2:17" s="65" customFormat="1" ht="15.75" thickBot="1" x14ac:dyDescent="0.3">
      <c r="L21" s="126" t="s">
        <v>93</v>
      </c>
      <c r="M21" s="147" t="str">
        <f>IF(Q11&lt;Q13,M11,M13)</f>
        <v xml:space="preserve"> </v>
      </c>
      <c r="N21" s="147"/>
      <c r="O21" s="147"/>
      <c r="P21" s="147"/>
      <c r="Q21" s="126">
        <v>4</v>
      </c>
    </row>
    <row r="22" spans="2:17" s="65" customFormat="1" ht="15.75" thickBot="1" x14ac:dyDescent="0.3">
      <c r="B22" s="144"/>
      <c r="C22" s="145"/>
      <c r="D22" s="145"/>
      <c r="E22" s="145"/>
      <c r="F22" s="146"/>
      <c r="G22" s="78" t="s">
        <v>60</v>
      </c>
      <c r="H22" s="78" t="s">
        <v>84</v>
      </c>
      <c r="I22" s="78" t="s">
        <v>61</v>
      </c>
      <c r="J22" s="78" t="s">
        <v>62</v>
      </c>
      <c r="L22" s="126" t="s">
        <v>94</v>
      </c>
      <c r="M22" s="147" t="str">
        <f ca="1">IF(G23&gt;G25,C23,C25)</f>
        <v>0 ()</v>
      </c>
      <c r="N22" s="147"/>
      <c r="O22" s="147"/>
      <c r="P22" s="147"/>
      <c r="Q22" s="126">
        <v>3</v>
      </c>
    </row>
    <row r="23" spans="2:17" s="65" customFormat="1" ht="15.75" customHeight="1" thickBot="1" x14ac:dyDescent="0.3">
      <c r="B23" s="139" t="s">
        <v>72</v>
      </c>
      <c r="C23" s="149" t="str">
        <f ca="1">'Grupa A'!B9</f>
        <v>0 ()</v>
      </c>
      <c r="D23" s="150"/>
      <c r="E23" s="150"/>
      <c r="F23" s="151"/>
      <c r="G23" s="139">
        <f>SUM(H23:J24)</f>
        <v>0</v>
      </c>
      <c r="H23" s="140"/>
      <c r="I23" s="140"/>
      <c r="J23" s="140"/>
      <c r="L23" s="126" t="s">
        <v>95</v>
      </c>
      <c r="M23" s="147" t="str">
        <f ca="1">IF(G23&lt;G25,C23,C25)</f>
        <v>0 ()</v>
      </c>
      <c r="N23" s="147"/>
      <c r="O23" s="147"/>
      <c r="P23" s="147"/>
      <c r="Q23" s="126">
        <v>2</v>
      </c>
    </row>
    <row r="24" spans="2:17" s="65" customFormat="1" ht="15.75" customHeight="1" thickBot="1" x14ac:dyDescent="0.3">
      <c r="B24" s="139"/>
      <c r="C24" s="152"/>
      <c r="D24" s="153"/>
      <c r="E24" s="153"/>
      <c r="F24" s="154"/>
      <c r="G24" s="139"/>
      <c r="H24" s="140"/>
      <c r="I24" s="140"/>
      <c r="J24" s="140"/>
      <c r="L24" s="126" t="s">
        <v>96</v>
      </c>
      <c r="M24" s="147" t="str">
        <f ca="1">'Grupa A'!B10</f>
        <v>0 ()</v>
      </c>
      <c r="N24" s="147"/>
      <c r="O24" s="147"/>
      <c r="P24" s="147"/>
      <c r="Q24" s="126">
        <v>1</v>
      </c>
    </row>
    <row r="25" spans="2:17" s="65" customFormat="1" ht="15.75" customHeight="1" thickBot="1" x14ac:dyDescent="0.3">
      <c r="B25" s="139" t="s">
        <v>75</v>
      </c>
      <c r="C25" s="155" t="str">
        <f ca="1">'Grupa B'!B9</f>
        <v>0 ()</v>
      </c>
      <c r="D25" s="155"/>
      <c r="E25" s="155"/>
      <c r="F25" s="155"/>
      <c r="G25" s="139">
        <f>SUM(H25:J26)</f>
        <v>0</v>
      </c>
      <c r="H25" s="140"/>
      <c r="I25" s="140"/>
      <c r="J25" s="140"/>
    </row>
    <row r="26" spans="2:17" s="65" customFormat="1" ht="15.75" customHeight="1" thickBot="1" x14ac:dyDescent="0.3">
      <c r="B26" s="139"/>
      <c r="C26" s="155"/>
      <c r="D26" s="155"/>
      <c r="E26" s="155"/>
      <c r="F26" s="155"/>
      <c r="G26" s="139"/>
      <c r="H26" s="140"/>
      <c r="I26" s="140"/>
      <c r="J26" s="140"/>
    </row>
    <row r="27" spans="2:17" s="65" customFormat="1" x14ac:dyDescent="0.25"/>
    <row r="28" spans="2:17" s="65" customFormat="1" x14ac:dyDescent="0.25"/>
    <row r="29" spans="2:17" s="65" customFormat="1" x14ac:dyDescent="0.25"/>
    <row r="30" spans="2:17" s="65" customFormat="1" x14ac:dyDescent="0.25"/>
    <row r="31" spans="2:17" s="65" customFormat="1" x14ac:dyDescent="0.25"/>
    <row r="32" spans="2:17" s="65" customFormat="1" x14ac:dyDescent="0.25"/>
    <row r="33" s="65" customFormat="1" x14ac:dyDescent="0.25"/>
    <row r="34" s="65" customFormat="1" x14ac:dyDescent="0.25"/>
    <row r="35" s="65" customFormat="1" x14ac:dyDescent="0.25"/>
    <row r="36" s="65" customFormat="1" x14ac:dyDescent="0.25"/>
    <row r="37" s="65" customFormat="1" x14ac:dyDescent="0.25"/>
    <row r="38" s="65" customFormat="1" x14ac:dyDescent="0.25"/>
    <row r="39" s="65" customFormat="1" x14ac:dyDescent="0.25"/>
    <row r="40" s="65" customFormat="1" x14ac:dyDescent="0.25"/>
    <row r="41" s="65" customFormat="1" x14ac:dyDescent="0.25"/>
    <row r="42" s="65" customFormat="1" x14ac:dyDescent="0.25"/>
    <row r="43" s="65" customFormat="1" x14ac:dyDescent="0.25"/>
    <row r="44" s="65" customFormat="1" x14ac:dyDescent="0.25"/>
    <row r="45" s="65" customFormat="1" x14ac:dyDescent="0.25"/>
    <row r="46" s="65" customFormat="1" x14ac:dyDescent="0.25"/>
    <row r="47" s="65" customFormat="1" x14ac:dyDescent="0.25"/>
    <row r="48" s="65" customFormat="1" x14ac:dyDescent="0.25"/>
    <row r="49" s="65" customFormat="1" x14ac:dyDescent="0.25"/>
    <row r="50" s="65" customFormat="1" x14ac:dyDescent="0.25"/>
    <row r="51" s="65" customFormat="1" x14ac:dyDescent="0.25"/>
    <row r="52" s="65" customFormat="1" x14ac:dyDescent="0.25"/>
    <row r="53" s="65" customFormat="1" x14ac:dyDescent="0.25"/>
    <row r="54" s="65" customFormat="1" x14ac:dyDescent="0.25"/>
    <row r="55" s="65" customFormat="1" x14ac:dyDescent="0.25"/>
    <row r="56" s="65" customFormat="1" x14ac:dyDescent="0.25"/>
    <row r="57" s="65" customFormat="1" x14ac:dyDescent="0.25"/>
    <row r="58" s="65" customFormat="1" x14ac:dyDescent="0.25"/>
    <row r="59" s="65" customFormat="1" x14ac:dyDescent="0.25"/>
    <row r="60" s="65" customFormat="1" x14ac:dyDescent="0.25"/>
    <row r="61" s="65" customFormat="1" x14ac:dyDescent="0.25"/>
    <row r="62" s="65" customFormat="1" x14ac:dyDescent="0.25"/>
    <row r="63" s="65" customFormat="1" x14ac:dyDescent="0.25"/>
    <row r="64" s="65" customFormat="1" x14ac:dyDescent="0.25"/>
    <row r="65" s="65" customFormat="1" x14ac:dyDescent="0.25"/>
    <row r="66" s="65" customFormat="1" x14ac:dyDescent="0.25"/>
    <row r="67" s="65" customFormat="1" x14ac:dyDescent="0.25"/>
    <row r="68" s="65" customFormat="1" x14ac:dyDescent="0.25"/>
    <row r="69" s="65" customFormat="1" x14ac:dyDescent="0.25"/>
    <row r="70" s="65" customFormat="1" x14ac:dyDescent="0.25"/>
    <row r="71" s="65" customFormat="1" x14ac:dyDescent="0.25"/>
    <row r="72" s="65" customFormat="1" x14ac:dyDescent="0.25"/>
    <row r="73" s="65" customFormat="1" x14ac:dyDescent="0.25"/>
    <row r="74" s="65" customFormat="1" x14ac:dyDescent="0.25"/>
    <row r="75" s="65" customFormat="1" x14ac:dyDescent="0.25"/>
    <row r="76" s="65" customFormat="1" x14ac:dyDescent="0.25"/>
    <row r="77" s="65" customFormat="1" x14ac:dyDescent="0.25"/>
    <row r="78" s="65" customFormat="1" x14ac:dyDescent="0.25"/>
    <row r="79" s="65" customFormat="1" x14ac:dyDescent="0.25"/>
    <row r="80" s="65" customFormat="1" x14ac:dyDescent="0.25"/>
    <row r="81" s="65" customFormat="1" x14ac:dyDescent="0.25"/>
    <row r="82" s="65" customFormat="1" x14ac:dyDescent="0.25"/>
    <row r="83" s="65" customFormat="1" x14ac:dyDescent="0.25"/>
    <row r="84" s="65" customFormat="1" x14ac:dyDescent="0.25"/>
    <row r="85" s="65" customFormat="1" x14ac:dyDescent="0.25"/>
    <row r="86" s="65" customFormat="1" x14ac:dyDescent="0.25"/>
    <row r="87" s="65" customFormat="1" x14ac:dyDescent="0.25"/>
    <row r="88" s="65" customFormat="1" x14ac:dyDescent="0.25"/>
    <row r="89" s="65" customFormat="1" x14ac:dyDescent="0.25"/>
    <row r="90" s="65" customFormat="1" x14ac:dyDescent="0.25"/>
    <row r="91" s="65" customFormat="1" x14ac:dyDescent="0.25"/>
    <row r="92" s="65" customFormat="1" x14ac:dyDescent="0.25"/>
    <row r="93" s="65" customFormat="1" x14ac:dyDescent="0.25"/>
    <row r="94" s="65" customFormat="1" x14ac:dyDescent="0.25"/>
    <row r="95" s="65" customFormat="1" x14ac:dyDescent="0.25"/>
    <row r="96" s="65" customFormat="1" x14ac:dyDescent="0.25"/>
    <row r="97" s="65" customFormat="1" x14ac:dyDescent="0.25"/>
    <row r="98" s="65" customFormat="1" x14ac:dyDescent="0.25"/>
    <row r="99" s="65" customFormat="1" x14ac:dyDescent="0.25"/>
    <row r="100" s="65" customFormat="1" x14ac:dyDescent="0.25"/>
    <row r="101" s="65" customFormat="1" x14ac:dyDescent="0.25"/>
  </sheetData>
  <sheetProtection password="E163" sheet="1" objects="1" scenarios="1"/>
  <mergeCells count="72">
    <mergeCell ref="M23:P23"/>
    <mergeCell ref="M24:P24"/>
    <mergeCell ref="M18:P18"/>
    <mergeCell ref="M19:P19"/>
    <mergeCell ref="M20:P20"/>
    <mergeCell ref="M21:P21"/>
    <mergeCell ref="M22:P22"/>
    <mergeCell ref="I23:I24"/>
    <mergeCell ref="J23:J24"/>
    <mergeCell ref="B25:B26"/>
    <mergeCell ref="C25:F26"/>
    <mergeCell ref="G25:G26"/>
    <mergeCell ref="H25:H26"/>
    <mergeCell ref="I25:I26"/>
    <mergeCell ref="J25:J26"/>
    <mergeCell ref="B22:F22"/>
    <mergeCell ref="B23:B24"/>
    <mergeCell ref="C23:F24"/>
    <mergeCell ref="G23:G24"/>
    <mergeCell ref="H23:H24"/>
    <mergeCell ref="B6:F6"/>
    <mergeCell ref="B7:B8"/>
    <mergeCell ref="C7:F8"/>
    <mergeCell ref="G7:G8"/>
    <mergeCell ref="H7:H8"/>
    <mergeCell ref="J7:J8"/>
    <mergeCell ref="B9:B10"/>
    <mergeCell ref="C9:F10"/>
    <mergeCell ref="G9:G10"/>
    <mergeCell ref="H9:H10"/>
    <mergeCell ref="I9:I10"/>
    <mergeCell ref="J9:J10"/>
    <mergeCell ref="I7:I8"/>
    <mergeCell ref="L10:P10"/>
    <mergeCell ref="L11:L12"/>
    <mergeCell ref="M11:P12"/>
    <mergeCell ref="J13:J14"/>
    <mergeCell ref="B15:B16"/>
    <mergeCell ref="C15:F16"/>
    <mergeCell ref="G15:G16"/>
    <mergeCell ref="H15:H16"/>
    <mergeCell ref="I15:I16"/>
    <mergeCell ref="J15:J16"/>
    <mergeCell ref="B12:F12"/>
    <mergeCell ref="B13:B14"/>
    <mergeCell ref="C13:F14"/>
    <mergeCell ref="G13:G14"/>
    <mergeCell ref="H13:H14"/>
    <mergeCell ref="I13:I14"/>
    <mergeCell ref="Q11:Q12"/>
    <mergeCell ref="R11:R12"/>
    <mergeCell ref="S11:S12"/>
    <mergeCell ref="T11:T12"/>
    <mergeCell ref="L13:L14"/>
    <mergeCell ref="M13:P14"/>
    <mergeCell ref="Q13:Q14"/>
    <mergeCell ref="R13:R14"/>
    <mergeCell ref="S13:S14"/>
    <mergeCell ref="T13:T14"/>
    <mergeCell ref="V10:Z10"/>
    <mergeCell ref="V11:V12"/>
    <mergeCell ref="W11:Z12"/>
    <mergeCell ref="AA11:AA12"/>
    <mergeCell ref="AB11:AB12"/>
    <mergeCell ref="AD11:AD12"/>
    <mergeCell ref="V13:V14"/>
    <mergeCell ref="W13:Z14"/>
    <mergeCell ref="AA13:AA14"/>
    <mergeCell ref="AB13:AB14"/>
    <mergeCell ref="AC13:AC14"/>
    <mergeCell ref="AD13:AD14"/>
    <mergeCell ref="AC11:AC1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GV127"/>
  <sheetViews>
    <sheetView showGridLines="0" workbookViewId="0">
      <selection activeCell="J32" sqref="J32"/>
    </sheetView>
  </sheetViews>
  <sheetFormatPr defaultRowHeight="15" x14ac:dyDescent="0.25"/>
  <cols>
    <col min="1" max="1" width="9.140625" style="65"/>
    <col min="2" max="7" width="6.7109375" style="65" customWidth="1"/>
    <col min="8" max="10" width="6.7109375" style="51" customWidth="1"/>
    <col min="11" max="11" width="4.42578125" style="65" customWidth="1"/>
    <col min="12" max="17" width="6.7109375" style="65" customWidth="1"/>
    <col min="18" max="20" width="6.7109375" style="51" customWidth="1"/>
    <col min="21" max="21" width="3.28515625" style="65" customWidth="1"/>
    <col min="22" max="27" width="6.7109375" style="65" customWidth="1"/>
    <col min="28" max="30" width="6.7109375" style="51" customWidth="1"/>
    <col min="31" max="31" width="4.42578125" style="65" customWidth="1"/>
    <col min="32" max="37" width="6.7109375" style="65" customWidth="1"/>
    <col min="38" max="40" width="6.7109375" style="51" customWidth="1"/>
    <col min="41" max="204" width="9.140625" style="65"/>
    <col min="205" max="16384" width="9.140625" style="51"/>
  </cols>
  <sheetData>
    <row r="1" spans="2:40" s="65" customFormat="1" x14ac:dyDescent="0.25"/>
    <row r="2" spans="2:40" s="65" customFormat="1" x14ac:dyDescent="0.25"/>
    <row r="3" spans="2:40" s="65" customFormat="1" x14ac:dyDescent="0.25"/>
    <row r="4" spans="2:40" s="65" customFormat="1" x14ac:dyDescent="0.25"/>
    <row r="5" spans="2:40" s="65" customFormat="1" ht="15.75" thickBot="1" x14ac:dyDescent="0.3"/>
    <row r="6" spans="2:40" s="65" customFormat="1" ht="15.75" thickBot="1" x14ac:dyDescent="0.3">
      <c r="B6" s="144" t="s">
        <v>63</v>
      </c>
      <c r="C6" s="145"/>
      <c r="D6" s="145"/>
      <c r="E6" s="145"/>
      <c r="F6" s="146"/>
      <c r="G6" s="78" t="s">
        <v>60</v>
      </c>
      <c r="H6" s="78" t="s">
        <v>84</v>
      </c>
      <c r="I6" s="78" t="s">
        <v>61</v>
      </c>
      <c r="J6" s="78" t="s">
        <v>62</v>
      </c>
      <c r="L6" s="144" t="s">
        <v>64</v>
      </c>
      <c r="M6" s="145"/>
      <c r="N6" s="145"/>
      <c r="O6" s="145"/>
      <c r="P6" s="146"/>
      <c r="Q6" s="78" t="s">
        <v>60</v>
      </c>
      <c r="R6" s="78" t="s">
        <v>84</v>
      </c>
      <c r="S6" s="78" t="s">
        <v>61</v>
      </c>
      <c r="T6" s="78" t="s">
        <v>62</v>
      </c>
    </row>
    <row r="7" spans="2:40" ht="15.75" thickBot="1" x14ac:dyDescent="0.3">
      <c r="B7" s="139" t="s">
        <v>74</v>
      </c>
      <c r="C7" s="149" t="str">
        <f ca="1">'Grupa A'!B8</f>
        <v>0 ()</v>
      </c>
      <c r="D7" s="150"/>
      <c r="E7" s="150"/>
      <c r="F7" s="151"/>
      <c r="G7" s="139">
        <f>SUM(H7:J8)</f>
        <v>0</v>
      </c>
      <c r="H7" s="140"/>
      <c r="I7" s="140"/>
      <c r="J7" s="140"/>
      <c r="L7" s="139" t="s">
        <v>68</v>
      </c>
      <c r="M7" s="155" t="str">
        <f ca="1">'Grupa A'!B7</f>
        <v>0 ()</v>
      </c>
      <c r="N7" s="155"/>
      <c r="O7" s="155"/>
      <c r="P7" s="155"/>
      <c r="Q7" s="139">
        <f>SUM(R7:T8)</f>
        <v>0</v>
      </c>
      <c r="R7" s="140"/>
      <c r="S7" s="140"/>
      <c r="T7" s="140"/>
    </row>
    <row r="8" spans="2:40" ht="15.75" thickBot="1" x14ac:dyDescent="0.3">
      <c r="B8" s="139"/>
      <c r="C8" s="152"/>
      <c r="D8" s="153"/>
      <c r="E8" s="153"/>
      <c r="F8" s="154"/>
      <c r="G8" s="139"/>
      <c r="H8" s="140"/>
      <c r="I8" s="140"/>
      <c r="J8" s="140"/>
      <c r="L8" s="139"/>
      <c r="M8" s="155"/>
      <c r="N8" s="155"/>
      <c r="O8" s="155"/>
      <c r="P8" s="155"/>
      <c r="Q8" s="139"/>
      <c r="R8" s="140"/>
      <c r="S8" s="140"/>
      <c r="T8" s="140"/>
      <c r="AB8" s="65"/>
      <c r="AC8" s="65"/>
      <c r="AD8" s="65"/>
      <c r="AL8" s="65"/>
      <c r="AM8" s="65"/>
      <c r="AN8" s="65"/>
    </row>
    <row r="9" spans="2:40" ht="15.75" thickBot="1" x14ac:dyDescent="0.3">
      <c r="B9" s="139" t="s">
        <v>75</v>
      </c>
      <c r="C9" s="155" t="str">
        <f ca="1">'Grupa B'!B9</f>
        <v>0 ()</v>
      </c>
      <c r="D9" s="155"/>
      <c r="E9" s="155"/>
      <c r="F9" s="155"/>
      <c r="G9" s="139">
        <f>SUM(H9:J10)</f>
        <v>0</v>
      </c>
      <c r="H9" s="140"/>
      <c r="I9" s="140"/>
      <c r="J9" s="140"/>
      <c r="L9" s="139" t="s">
        <v>77</v>
      </c>
      <c r="M9" s="155" t="str">
        <f>IF(G13=G15," ",IF(G13&gt;G15,C13,C15))</f>
        <v xml:space="preserve"> </v>
      </c>
      <c r="N9" s="155"/>
      <c r="O9" s="155"/>
      <c r="P9" s="155"/>
      <c r="Q9" s="139">
        <f>SUM(R9:T10)</f>
        <v>0</v>
      </c>
      <c r="R9" s="140"/>
      <c r="S9" s="140"/>
      <c r="T9" s="140"/>
      <c r="V9" s="141"/>
      <c r="W9" s="142"/>
      <c r="X9" s="142"/>
      <c r="Y9" s="142"/>
      <c r="Z9" s="143"/>
      <c r="AA9" s="78" t="s">
        <v>60</v>
      </c>
      <c r="AB9" s="78" t="s">
        <v>84</v>
      </c>
      <c r="AC9" s="78" t="s">
        <v>61</v>
      </c>
      <c r="AD9" s="78" t="s">
        <v>62</v>
      </c>
      <c r="AF9" s="141"/>
      <c r="AG9" s="142"/>
      <c r="AH9" s="142"/>
      <c r="AI9" s="142"/>
      <c r="AJ9" s="143"/>
      <c r="AK9" s="78" t="s">
        <v>60</v>
      </c>
      <c r="AL9" s="78" t="s">
        <v>84</v>
      </c>
      <c r="AM9" s="78" t="s">
        <v>61</v>
      </c>
      <c r="AN9" s="78" t="s">
        <v>62</v>
      </c>
    </row>
    <row r="10" spans="2:40" ht="15.75" customHeight="1" thickBot="1" x14ac:dyDescent="0.3">
      <c r="B10" s="139"/>
      <c r="C10" s="155"/>
      <c r="D10" s="155"/>
      <c r="E10" s="155"/>
      <c r="F10" s="155"/>
      <c r="G10" s="139"/>
      <c r="H10" s="140"/>
      <c r="I10" s="140"/>
      <c r="J10" s="140"/>
      <c r="L10" s="139"/>
      <c r="M10" s="155"/>
      <c r="N10" s="155"/>
      <c r="O10" s="155"/>
      <c r="P10" s="155"/>
      <c r="Q10" s="139"/>
      <c r="R10" s="140"/>
      <c r="S10" s="140"/>
      <c r="T10" s="140"/>
      <c r="V10" s="139" t="s">
        <v>87</v>
      </c>
      <c r="W10" s="155" t="str">
        <f>IF(Q7=Q9," ",IF(Q7&lt;Q9,M7,M9))</f>
        <v xml:space="preserve"> </v>
      </c>
      <c r="X10" s="155"/>
      <c r="Y10" s="155"/>
      <c r="Z10" s="155"/>
      <c r="AA10" s="139">
        <f>SUM(AB10:AD11)</f>
        <v>0</v>
      </c>
      <c r="AB10" s="140"/>
      <c r="AC10" s="140"/>
      <c r="AD10" s="140"/>
      <c r="AF10" s="139" t="s">
        <v>78</v>
      </c>
      <c r="AG10" s="155" t="str">
        <f>IF(Q7=Q9," ",IF(Q7&gt;Q9,M7,M9))</f>
        <v xml:space="preserve"> </v>
      </c>
      <c r="AH10" s="155"/>
      <c r="AI10" s="155"/>
      <c r="AJ10" s="155"/>
      <c r="AK10" s="139">
        <f>SUM(AL10:AN11)</f>
        <v>0</v>
      </c>
      <c r="AL10" s="140"/>
      <c r="AM10" s="140"/>
      <c r="AN10" s="137"/>
    </row>
    <row r="11" spans="2:40" ht="15.75" customHeight="1" thickBot="1" x14ac:dyDescent="0.3">
      <c r="H11" s="65"/>
      <c r="I11" s="65"/>
      <c r="J11" s="65"/>
      <c r="R11" s="65"/>
      <c r="S11" s="65"/>
      <c r="T11" s="65"/>
      <c r="V11" s="139"/>
      <c r="W11" s="155"/>
      <c r="X11" s="155"/>
      <c r="Y11" s="155"/>
      <c r="Z11" s="155"/>
      <c r="AA11" s="139"/>
      <c r="AB11" s="140"/>
      <c r="AC11" s="140"/>
      <c r="AD11" s="140"/>
      <c r="AF11" s="139"/>
      <c r="AG11" s="155"/>
      <c r="AH11" s="155"/>
      <c r="AI11" s="155"/>
      <c r="AJ11" s="155"/>
      <c r="AK11" s="139"/>
      <c r="AL11" s="140"/>
      <c r="AM11" s="140"/>
      <c r="AN11" s="138"/>
    </row>
    <row r="12" spans="2:40" ht="15.75" customHeight="1" thickBot="1" x14ac:dyDescent="0.3">
      <c r="B12" s="144" t="s">
        <v>29</v>
      </c>
      <c r="C12" s="145"/>
      <c r="D12" s="145"/>
      <c r="E12" s="145"/>
      <c r="F12" s="146"/>
      <c r="G12" s="78" t="s">
        <v>60</v>
      </c>
      <c r="H12" s="78" t="s">
        <v>84</v>
      </c>
      <c r="I12" s="78" t="s">
        <v>61</v>
      </c>
      <c r="J12" s="78" t="s">
        <v>62</v>
      </c>
      <c r="L12" s="144" t="s">
        <v>65</v>
      </c>
      <c r="M12" s="145"/>
      <c r="N12" s="145"/>
      <c r="O12" s="145"/>
      <c r="P12" s="146"/>
      <c r="Q12" s="78" t="s">
        <v>60</v>
      </c>
      <c r="R12" s="78" t="s">
        <v>84</v>
      </c>
      <c r="S12" s="78" t="s">
        <v>61</v>
      </c>
      <c r="T12" s="78" t="s">
        <v>62</v>
      </c>
      <c r="V12" s="139" t="s">
        <v>88</v>
      </c>
      <c r="W12" s="155" t="str">
        <f>IF(Q13=Q15," ",IF(Q13&lt;Q15,M13,M15))</f>
        <v xml:space="preserve"> </v>
      </c>
      <c r="X12" s="155"/>
      <c r="Y12" s="155"/>
      <c r="Z12" s="155"/>
      <c r="AA12" s="139">
        <f>SUM(AB12:AD13)</f>
        <v>0</v>
      </c>
      <c r="AB12" s="140"/>
      <c r="AC12" s="140"/>
      <c r="AD12" s="140"/>
      <c r="AF12" s="139" t="s">
        <v>79</v>
      </c>
      <c r="AG12" s="155" t="str">
        <f>IF(Q13=Q15," ",IF(Q13&gt;Q15,M13,M15))</f>
        <v xml:space="preserve"> </v>
      </c>
      <c r="AH12" s="155"/>
      <c r="AI12" s="155"/>
      <c r="AJ12" s="155"/>
      <c r="AK12" s="139">
        <f>SUM(AL12:AN13)</f>
        <v>0</v>
      </c>
      <c r="AL12" s="140"/>
      <c r="AM12" s="140"/>
      <c r="AN12" s="137"/>
    </row>
    <row r="13" spans="2:40" ht="15.75" customHeight="1" thickBot="1" x14ac:dyDescent="0.3">
      <c r="B13" s="139" t="s">
        <v>71</v>
      </c>
      <c r="C13" s="155" t="str">
        <f ca="1">'Grupa B'!B8</f>
        <v>0 ()</v>
      </c>
      <c r="D13" s="155"/>
      <c r="E13" s="155"/>
      <c r="F13" s="155"/>
      <c r="G13" s="139">
        <f>SUM(H13:J14)</f>
        <v>0</v>
      </c>
      <c r="H13" s="140"/>
      <c r="I13" s="140"/>
      <c r="J13" s="140"/>
      <c r="L13" s="139" t="s">
        <v>69</v>
      </c>
      <c r="M13" s="155" t="str">
        <f ca="1">'Grupa B'!B7</f>
        <v>0 ()</v>
      </c>
      <c r="N13" s="155"/>
      <c r="O13" s="155"/>
      <c r="P13" s="155"/>
      <c r="Q13" s="139">
        <f>SUM(R13:T14)</f>
        <v>0</v>
      </c>
      <c r="R13" s="140"/>
      <c r="S13" s="140"/>
      <c r="T13" s="140"/>
      <c r="V13" s="139"/>
      <c r="W13" s="155"/>
      <c r="X13" s="155"/>
      <c r="Y13" s="155"/>
      <c r="Z13" s="155"/>
      <c r="AA13" s="139"/>
      <c r="AB13" s="140"/>
      <c r="AC13" s="140"/>
      <c r="AD13" s="140"/>
      <c r="AF13" s="139"/>
      <c r="AG13" s="155"/>
      <c r="AH13" s="155"/>
      <c r="AI13" s="155"/>
      <c r="AJ13" s="155"/>
      <c r="AK13" s="139"/>
      <c r="AL13" s="140"/>
      <c r="AM13" s="140"/>
      <c r="AN13" s="138"/>
    </row>
    <row r="14" spans="2:40" ht="15.75" thickBot="1" x14ac:dyDescent="0.3">
      <c r="B14" s="139"/>
      <c r="C14" s="155"/>
      <c r="D14" s="155"/>
      <c r="E14" s="155"/>
      <c r="F14" s="155"/>
      <c r="G14" s="139"/>
      <c r="H14" s="140"/>
      <c r="I14" s="140"/>
      <c r="J14" s="140"/>
      <c r="L14" s="139"/>
      <c r="M14" s="155"/>
      <c r="N14" s="155"/>
      <c r="O14" s="155"/>
      <c r="P14" s="155"/>
      <c r="Q14" s="139"/>
      <c r="R14" s="140"/>
      <c r="S14" s="140"/>
      <c r="T14" s="140"/>
      <c r="AB14" s="65"/>
      <c r="AC14" s="65"/>
      <c r="AD14" s="65"/>
      <c r="AL14" s="65"/>
      <c r="AM14" s="65"/>
      <c r="AN14" s="65"/>
    </row>
    <row r="15" spans="2:40" ht="15.75" thickBot="1" x14ac:dyDescent="0.3">
      <c r="B15" s="139" t="s">
        <v>72</v>
      </c>
      <c r="C15" s="155" t="str">
        <f ca="1">'Grupa A'!B9</f>
        <v>0 ()</v>
      </c>
      <c r="D15" s="155"/>
      <c r="E15" s="155"/>
      <c r="F15" s="155"/>
      <c r="G15" s="139">
        <f>SUM(H15:J16)</f>
        <v>0</v>
      </c>
      <c r="H15" s="140"/>
      <c r="I15" s="140"/>
      <c r="J15" s="140"/>
      <c r="L15" s="139" t="s">
        <v>76</v>
      </c>
      <c r="M15" s="155" t="str">
        <f>IF(G7=G9," ",IF(G7&gt;G9,C7,C9))</f>
        <v xml:space="preserve"> </v>
      </c>
      <c r="N15" s="155"/>
      <c r="O15" s="155"/>
      <c r="P15" s="155"/>
      <c r="Q15" s="139">
        <f>SUM(R15:T16)</f>
        <v>0</v>
      </c>
      <c r="R15" s="140"/>
      <c r="S15" s="140"/>
      <c r="T15" s="140"/>
      <c r="AB15" s="65"/>
      <c r="AC15" s="65"/>
      <c r="AD15" s="65"/>
      <c r="AL15" s="65"/>
      <c r="AM15" s="65"/>
      <c r="AN15" s="65"/>
    </row>
    <row r="16" spans="2:40" ht="15.75" thickBot="1" x14ac:dyDescent="0.3">
      <c r="B16" s="139"/>
      <c r="C16" s="155"/>
      <c r="D16" s="155"/>
      <c r="E16" s="155"/>
      <c r="F16" s="155"/>
      <c r="G16" s="139"/>
      <c r="H16" s="140"/>
      <c r="I16" s="140"/>
      <c r="J16" s="140"/>
      <c r="L16" s="139"/>
      <c r="M16" s="155"/>
      <c r="N16" s="155"/>
      <c r="O16" s="155"/>
      <c r="P16" s="155"/>
      <c r="Q16" s="139"/>
      <c r="R16" s="140"/>
      <c r="S16" s="140"/>
      <c r="T16" s="140"/>
      <c r="AB16" s="65"/>
      <c r="AC16" s="65"/>
      <c r="AD16" s="65"/>
      <c r="AL16" s="65"/>
      <c r="AM16" s="65"/>
      <c r="AN16" s="65"/>
    </row>
    <row r="17" spans="2:27" s="65" customFormat="1" x14ac:dyDescent="0.25"/>
    <row r="18" spans="2:27" s="65" customFormat="1" x14ac:dyDescent="0.25">
      <c r="V18" s="125" t="s">
        <v>90</v>
      </c>
      <c r="W18" s="148" t="str">
        <f>IF(AK10&gt;AK12,AG10,AG12)</f>
        <v xml:space="preserve"> </v>
      </c>
      <c r="X18" s="148"/>
      <c r="Y18" s="148"/>
      <c r="Z18" s="148"/>
      <c r="AA18" s="125">
        <v>8</v>
      </c>
    </row>
    <row r="19" spans="2:27" s="65" customFormat="1" x14ac:dyDescent="0.25">
      <c r="V19" s="126" t="s">
        <v>91</v>
      </c>
      <c r="W19" s="147" t="str">
        <f>IF(AK10&lt;AK12,AG10,AG12)</f>
        <v xml:space="preserve"> </v>
      </c>
      <c r="X19" s="147"/>
      <c r="Y19" s="147"/>
      <c r="Z19" s="147"/>
      <c r="AA19" s="126">
        <v>7</v>
      </c>
    </row>
    <row r="20" spans="2:27" s="65" customFormat="1" ht="15.75" thickBot="1" x14ac:dyDescent="0.3">
      <c r="V20" s="126" t="s">
        <v>92</v>
      </c>
      <c r="W20" s="147" t="str">
        <f>IF(AA10&gt;AA12,W10,W12)</f>
        <v xml:space="preserve"> </v>
      </c>
      <c r="X20" s="147"/>
      <c r="Y20" s="147"/>
      <c r="Z20" s="147"/>
      <c r="AA20" s="126">
        <v>6</v>
      </c>
    </row>
    <row r="21" spans="2:27" s="65" customFormat="1" ht="15.75" thickBot="1" x14ac:dyDescent="0.3">
      <c r="B21" s="144"/>
      <c r="C21" s="145"/>
      <c r="D21" s="145"/>
      <c r="E21" s="145"/>
      <c r="F21" s="146"/>
      <c r="G21" s="78" t="s">
        <v>60</v>
      </c>
      <c r="H21" s="78" t="s">
        <v>84</v>
      </c>
      <c r="I21" s="78" t="s">
        <v>61</v>
      </c>
      <c r="J21" s="78" t="s">
        <v>62</v>
      </c>
      <c r="L21" s="144"/>
      <c r="M21" s="145"/>
      <c r="N21" s="145"/>
      <c r="O21" s="145"/>
      <c r="P21" s="146"/>
      <c r="Q21" s="78" t="s">
        <v>60</v>
      </c>
      <c r="R21" s="78" t="s">
        <v>84</v>
      </c>
      <c r="S21" s="78" t="s">
        <v>61</v>
      </c>
      <c r="T21" s="78" t="s">
        <v>62</v>
      </c>
      <c r="V21" s="126" t="s">
        <v>93</v>
      </c>
      <c r="W21" s="147" t="str">
        <f>IF(AA10&lt;AA12,W10,W12)</f>
        <v xml:space="preserve"> </v>
      </c>
      <c r="X21" s="147"/>
      <c r="Y21" s="147"/>
      <c r="Z21" s="147"/>
      <c r="AA21" s="126">
        <v>5</v>
      </c>
    </row>
    <row r="22" spans="2:27" s="65" customFormat="1" ht="15.75" thickBot="1" x14ac:dyDescent="0.3">
      <c r="B22" s="139" t="s">
        <v>73</v>
      </c>
      <c r="C22" s="149" t="str">
        <f ca="1">'Grupa A'!B10</f>
        <v>0 ()</v>
      </c>
      <c r="D22" s="150"/>
      <c r="E22" s="150"/>
      <c r="F22" s="151"/>
      <c r="G22" s="139">
        <f>SUM(H22:J23)</f>
        <v>0</v>
      </c>
      <c r="H22" s="140"/>
      <c r="I22" s="140"/>
      <c r="J22" s="140"/>
      <c r="L22" s="139" t="s">
        <v>85</v>
      </c>
      <c r="M22" s="155" t="str">
        <f>IF(G7=G9," ",IF(G7&lt;G9,C7,C9))</f>
        <v xml:space="preserve"> </v>
      </c>
      <c r="N22" s="155"/>
      <c r="O22" s="155"/>
      <c r="P22" s="155"/>
      <c r="Q22" s="139">
        <f>SUM(R22:T23)</f>
        <v>0</v>
      </c>
      <c r="R22" s="140"/>
      <c r="S22" s="140"/>
      <c r="T22" s="140"/>
      <c r="V22" s="126" t="s">
        <v>94</v>
      </c>
      <c r="W22" s="147" t="str">
        <f>IF(Q22&gt;Q24,M22,M24)</f>
        <v xml:space="preserve"> </v>
      </c>
      <c r="X22" s="147"/>
      <c r="Y22" s="147"/>
      <c r="Z22" s="147"/>
      <c r="AA22" s="126">
        <v>4</v>
      </c>
    </row>
    <row r="23" spans="2:27" s="65" customFormat="1" ht="15.75" thickBot="1" x14ac:dyDescent="0.3">
      <c r="B23" s="139"/>
      <c r="C23" s="152"/>
      <c r="D23" s="153"/>
      <c r="E23" s="153"/>
      <c r="F23" s="154"/>
      <c r="G23" s="139"/>
      <c r="H23" s="140"/>
      <c r="I23" s="140"/>
      <c r="J23" s="140"/>
      <c r="L23" s="139"/>
      <c r="M23" s="155"/>
      <c r="N23" s="155"/>
      <c r="O23" s="155"/>
      <c r="P23" s="155"/>
      <c r="Q23" s="139"/>
      <c r="R23" s="140"/>
      <c r="S23" s="140"/>
      <c r="T23" s="140"/>
      <c r="V23" s="126" t="s">
        <v>95</v>
      </c>
      <c r="W23" s="147" t="str">
        <f>IF(Q22&lt;Q24,M22,M24)</f>
        <v xml:space="preserve"> </v>
      </c>
      <c r="X23" s="147"/>
      <c r="Y23" s="147"/>
      <c r="Z23" s="147"/>
      <c r="AA23" s="126">
        <v>3</v>
      </c>
    </row>
    <row r="24" spans="2:27" s="65" customFormat="1" ht="15.75" thickBot="1" x14ac:dyDescent="0.3">
      <c r="B24" s="139" t="s">
        <v>70</v>
      </c>
      <c r="C24" s="155" t="str">
        <f ca="1">'Grupa B'!B10</f>
        <v>0 ()</v>
      </c>
      <c r="D24" s="155"/>
      <c r="E24" s="155"/>
      <c r="F24" s="155"/>
      <c r="G24" s="139">
        <f>SUM(H24:J25)</f>
        <v>0</v>
      </c>
      <c r="H24" s="140"/>
      <c r="I24" s="140"/>
      <c r="J24" s="140"/>
      <c r="L24" s="139" t="s">
        <v>86</v>
      </c>
      <c r="M24" s="155" t="str">
        <f>IF(G13=G15," ",IF(G13&lt;G15,C13,C15))</f>
        <v xml:space="preserve"> </v>
      </c>
      <c r="N24" s="155"/>
      <c r="O24" s="155"/>
      <c r="P24" s="155"/>
      <c r="Q24" s="139">
        <f>SUM(R24:T25)</f>
        <v>0</v>
      </c>
      <c r="R24" s="140"/>
      <c r="S24" s="140"/>
      <c r="T24" s="140"/>
      <c r="V24" s="126" t="s">
        <v>96</v>
      </c>
      <c r="W24" s="147" t="str">
        <f ca="1">IF(G22&gt;G24,C22,C24)</f>
        <v>0 ()</v>
      </c>
      <c r="X24" s="147"/>
      <c r="Y24" s="147"/>
      <c r="Z24" s="147"/>
      <c r="AA24" s="126">
        <v>2</v>
      </c>
    </row>
    <row r="25" spans="2:27" s="65" customFormat="1" ht="15.75" thickBot="1" x14ac:dyDescent="0.3">
      <c r="B25" s="139"/>
      <c r="C25" s="155"/>
      <c r="D25" s="155"/>
      <c r="E25" s="155"/>
      <c r="F25" s="155"/>
      <c r="G25" s="139"/>
      <c r="H25" s="140"/>
      <c r="I25" s="140"/>
      <c r="J25" s="140"/>
      <c r="L25" s="139"/>
      <c r="M25" s="155"/>
      <c r="N25" s="155"/>
      <c r="O25" s="155"/>
      <c r="P25" s="155"/>
      <c r="Q25" s="139"/>
      <c r="R25" s="140"/>
      <c r="S25" s="140"/>
      <c r="T25" s="140"/>
      <c r="V25" s="126" t="s">
        <v>97</v>
      </c>
      <c r="W25" s="147" t="str">
        <f ca="1">IF(G22&lt;G24,C22,C24)</f>
        <v>0 ()</v>
      </c>
      <c r="X25" s="147"/>
      <c r="Y25" s="147"/>
      <c r="Z25" s="147"/>
      <c r="AA25" s="126">
        <v>1</v>
      </c>
    </row>
    <row r="26" spans="2:27" s="65" customFormat="1" x14ac:dyDescent="0.25"/>
    <row r="27" spans="2:27" s="65" customFormat="1" x14ac:dyDescent="0.25"/>
    <row r="28" spans="2:27" s="65" customFormat="1" x14ac:dyDescent="0.25"/>
    <row r="29" spans="2:27" s="65" customFormat="1" x14ac:dyDescent="0.25"/>
    <row r="30" spans="2:27" s="65" customFormat="1" x14ac:dyDescent="0.25"/>
    <row r="31" spans="2:27" s="65" customFormat="1" x14ac:dyDescent="0.25"/>
    <row r="32" spans="2:27" s="65" customFormat="1" x14ac:dyDescent="0.25"/>
    <row r="33" s="65" customFormat="1" x14ac:dyDescent="0.25"/>
    <row r="34" s="65" customFormat="1" x14ac:dyDescent="0.25"/>
    <row r="35" s="65" customFormat="1" x14ac:dyDescent="0.25"/>
    <row r="36" s="65" customFormat="1" x14ac:dyDescent="0.25"/>
    <row r="37" s="65" customFormat="1" x14ac:dyDescent="0.25"/>
    <row r="38" s="65" customFormat="1" x14ac:dyDescent="0.25"/>
    <row r="39" s="65" customFormat="1" x14ac:dyDescent="0.25"/>
    <row r="40" s="65" customFormat="1" x14ac:dyDescent="0.25"/>
    <row r="41" s="65" customFormat="1" x14ac:dyDescent="0.25"/>
    <row r="42" s="65" customFormat="1" x14ac:dyDescent="0.25"/>
    <row r="43" s="65" customFormat="1" x14ac:dyDescent="0.25"/>
    <row r="44" s="65" customFormat="1" x14ac:dyDescent="0.25"/>
    <row r="45" s="65" customFormat="1" x14ac:dyDescent="0.25"/>
    <row r="46" s="65" customFormat="1" x14ac:dyDescent="0.25"/>
    <row r="47" s="65" customFormat="1" x14ac:dyDescent="0.25"/>
    <row r="48" s="65" customFormat="1" x14ac:dyDescent="0.25"/>
    <row r="49" s="65" customFormat="1" x14ac:dyDescent="0.25"/>
    <row r="50" s="65" customFormat="1" x14ac:dyDescent="0.25"/>
    <row r="51" s="65" customFormat="1" x14ac:dyDescent="0.25"/>
    <row r="52" s="65" customFormat="1" x14ac:dyDescent="0.25"/>
    <row r="53" s="65" customFormat="1" x14ac:dyDescent="0.25"/>
    <row r="54" s="65" customFormat="1" x14ac:dyDescent="0.25"/>
    <row r="55" s="65" customFormat="1" x14ac:dyDescent="0.25"/>
    <row r="56" s="65" customFormat="1" x14ac:dyDescent="0.25"/>
    <row r="57" s="65" customFormat="1" x14ac:dyDescent="0.25"/>
    <row r="58" s="65" customFormat="1" x14ac:dyDescent="0.25"/>
    <row r="59" s="65" customFormat="1" x14ac:dyDescent="0.25"/>
    <row r="60" s="65" customFormat="1" x14ac:dyDescent="0.25"/>
    <row r="61" s="65" customFormat="1" x14ac:dyDescent="0.25"/>
    <row r="62" s="65" customFormat="1" x14ac:dyDescent="0.25"/>
    <row r="63" s="65" customFormat="1" x14ac:dyDescent="0.25"/>
    <row r="64" s="65" customFormat="1" x14ac:dyDescent="0.25"/>
    <row r="65" s="65" customFormat="1" x14ac:dyDescent="0.25"/>
    <row r="66" s="65" customFormat="1" x14ac:dyDescent="0.25"/>
    <row r="67" s="65" customFormat="1" x14ac:dyDescent="0.25"/>
    <row r="68" s="65" customFormat="1" x14ac:dyDescent="0.25"/>
    <row r="69" s="65" customFormat="1" x14ac:dyDescent="0.25"/>
    <row r="70" s="65" customFormat="1" x14ac:dyDescent="0.25"/>
    <row r="71" s="65" customFormat="1" x14ac:dyDescent="0.25"/>
    <row r="72" s="65" customFormat="1" x14ac:dyDescent="0.25"/>
    <row r="73" s="65" customFormat="1" x14ac:dyDescent="0.25"/>
    <row r="74" s="65" customFormat="1" x14ac:dyDescent="0.25"/>
    <row r="75" s="65" customFormat="1" x14ac:dyDescent="0.25"/>
    <row r="76" s="65" customFormat="1" x14ac:dyDescent="0.25"/>
    <row r="77" s="65" customFormat="1" x14ac:dyDescent="0.25"/>
    <row r="78" s="65" customFormat="1" x14ac:dyDescent="0.25"/>
    <row r="79" s="65" customFormat="1" x14ac:dyDescent="0.25"/>
    <row r="80" s="65" customFormat="1" x14ac:dyDescent="0.25"/>
    <row r="81" s="65" customFormat="1" x14ac:dyDescent="0.25"/>
    <row r="82" s="65" customFormat="1" x14ac:dyDescent="0.25"/>
    <row r="83" s="65" customFormat="1" x14ac:dyDescent="0.25"/>
    <row r="84" s="65" customFormat="1" x14ac:dyDescent="0.25"/>
    <row r="85" s="65" customFormat="1" x14ac:dyDescent="0.25"/>
    <row r="86" s="65" customFormat="1" x14ac:dyDescent="0.25"/>
    <row r="87" s="65" customFormat="1" x14ac:dyDescent="0.25"/>
    <row r="88" s="65" customFormat="1" x14ac:dyDescent="0.25"/>
    <row r="89" s="65" customFormat="1" x14ac:dyDescent="0.25"/>
    <row r="90" s="65" customFormat="1" x14ac:dyDescent="0.25"/>
    <row r="91" s="65" customFormat="1" x14ac:dyDescent="0.25"/>
    <row r="92" s="65" customFormat="1" x14ac:dyDescent="0.25"/>
    <row r="93" s="65" customFormat="1" x14ac:dyDescent="0.25"/>
    <row r="94" s="65" customFormat="1" x14ac:dyDescent="0.25"/>
    <row r="95" s="65" customFormat="1" x14ac:dyDescent="0.25"/>
    <row r="96" s="65" customFormat="1" x14ac:dyDescent="0.25"/>
    <row r="97" s="65" customFormat="1" x14ac:dyDescent="0.25"/>
    <row r="98" s="65" customFormat="1" x14ac:dyDescent="0.25"/>
    <row r="99" s="65" customFormat="1" x14ac:dyDescent="0.25"/>
    <row r="100" s="65" customFormat="1" x14ac:dyDescent="0.25"/>
    <row r="101" s="65" customFormat="1" x14ac:dyDescent="0.25"/>
    <row r="102" s="65" customFormat="1" x14ac:dyDescent="0.25"/>
    <row r="103" s="65" customFormat="1" x14ac:dyDescent="0.25"/>
    <row r="104" s="65" customFormat="1" x14ac:dyDescent="0.25"/>
    <row r="105" s="65" customFormat="1" x14ac:dyDescent="0.25"/>
    <row r="106" s="65" customFormat="1" x14ac:dyDescent="0.25"/>
    <row r="107" s="65" customFormat="1" x14ac:dyDescent="0.25"/>
    <row r="108" s="65" customFormat="1" x14ac:dyDescent="0.25"/>
    <row r="109" s="65" customFormat="1" x14ac:dyDescent="0.25"/>
    <row r="110" s="65" customFormat="1" x14ac:dyDescent="0.25"/>
    <row r="111" s="65" customFormat="1" x14ac:dyDescent="0.25"/>
    <row r="112" s="65" customFormat="1" x14ac:dyDescent="0.25"/>
    <row r="113" s="65" customFormat="1" x14ac:dyDescent="0.25"/>
    <row r="114" s="65" customFormat="1" x14ac:dyDescent="0.25"/>
    <row r="115" s="65" customFormat="1" x14ac:dyDescent="0.25"/>
    <row r="116" s="65" customFormat="1" x14ac:dyDescent="0.25"/>
    <row r="117" s="65" customFormat="1" x14ac:dyDescent="0.25"/>
    <row r="118" s="65" customFormat="1" x14ac:dyDescent="0.25"/>
    <row r="119" s="65" customFormat="1" x14ac:dyDescent="0.25"/>
    <row r="120" s="65" customFormat="1" x14ac:dyDescent="0.25"/>
    <row r="121" s="65" customFormat="1" x14ac:dyDescent="0.25"/>
    <row r="122" s="65" customFormat="1" x14ac:dyDescent="0.25"/>
    <row r="123" s="65" customFormat="1" x14ac:dyDescent="0.25"/>
    <row r="124" s="65" customFormat="1" x14ac:dyDescent="0.25"/>
    <row r="125" s="65" customFormat="1" x14ac:dyDescent="0.25"/>
    <row r="126" s="65" customFormat="1" x14ac:dyDescent="0.25"/>
    <row r="127" s="65" customFormat="1" x14ac:dyDescent="0.25"/>
  </sheetData>
  <sheetProtection password="E163" sheet="1" objects="1" scenarios="1"/>
  <mergeCells count="112">
    <mergeCell ref="L21:P21"/>
    <mergeCell ref="L22:L23"/>
    <mergeCell ref="M22:P23"/>
    <mergeCell ref="Q22:Q23"/>
    <mergeCell ref="R22:R23"/>
    <mergeCell ref="W23:Z23"/>
    <mergeCell ref="W24:Z24"/>
    <mergeCell ref="W25:Z25"/>
    <mergeCell ref="B21:F21"/>
    <mergeCell ref="B22:B23"/>
    <mergeCell ref="C22:F23"/>
    <mergeCell ref="G22:G23"/>
    <mergeCell ref="H22:H23"/>
    <mergeCell ref="I22:I23"/>
    <mergeCell ref="J22:J23"/>
    <mergeCell ref="B24:B25"/>
    <mergeCell ref="C24:F25"/>
    <mergeCell ref="G24:G25"/>
    <mergeCell ref="H24:H25"/>
    <mergeCell ref="I24:I25"/>
    <mergeCell ref="J24:J25"/>
    <mergeCell ref="S22:S23"/>
    <mergeCell ref="T22:T23"/>
    <mergeCell ref="L24:L25"/>
    <mergeCell ref="M24:P25"/>
    <mergeCell ref="Q24:Q25"/>
    <mergeCell ref="R24:R25"/>
    <mergeCell ref="S24:S25"/>
    <mergeCell ref="T24:T25"/>
    <mergeCell ref="W18:Z18"/>
    <mergeCell ref="W19:Z19"/>
    <mergeCell ref="W20:Z20"/>
    <mergeCell ref="W21:Z21"/>
    <mergeCell ref="W22:Z22"/>
    <mergeCell ref="B6:F6"/>
    <mergeCell ref="B7:B8"/>
    <mergeCell ref="C7:F8"/>
    <mergeCell ref="G7:G8"/>
    <mergeCell ref="H7:H8"/>
    <mergeCell ref="J7:J8"/>
    <mergeCell ref="B9:B10"/>
    <mergeCell ref="C9:F10"/>
    <mergeCell ref="G9:G10"/>
    <mergeCell ref="H9:H10"/>
    <mergeCell ref="I9:I10"/>
    <mergeCell ref="J9:J10"/>
    <mergeCell ref="I7:I8"/>
    <mergeCell ref="B12:F12"/>
    <mergeCell ref="B13:B14"/>
    <mergeCell ref="C13:F14"/>
    <mergeCell ref="G13:G14"/>
    <mergeCell ref="H13:H14"/>
    <mergeCell ref="J13:J14"/>
    <mergeCell ref="B15:B16"/>
    <mergeCell ref="C15:F16"/>
    <mergeCell ref="G15:G16"/>
    <mergeCell ref="H15:H16"/>
    <mergeCell ref="I15:I16"/>
    <mergeCell ref="J15:J16"/>
    <mergeCell ref="I13:I14"/>
    <mergeCell ref="L6:P6"/>
    <mergeCell ref="L7:L8"/>
    <mergeCell ref="M7:P8"/>
    <mergeCell ref="L12:P12"/>
    <mergeCell ref="L13:L14"/>
    <mergeCell ref="M13:P14"/>
    <mergeCell ref="Q7:Q8"/>
    <mergeCell ref="R7:R8"/>
    <mergeCell ref="T7:T8"/>
    <mergeCell ref="L9:L10"/>
    <mergeCell ref="M9:P10"/>
    <mergeCell ref="Q9:Q10"/>
    <mergeCell ref="R9:R10"/>
    <mergeCell ref="S9:S10"/>
    <mergeCell ref="T9:T10"/>
    <mergeCell ref="S7:S8"/>
    <mergeCell ref="Q13:Q14"/>
    <mergeCell ref="R13:R14"/>
    <mergeCell ref="T13:T14"/>
    <mergeCell ref="L15:L16"/>
    <mergeCell ref="M15:P16"/>
    <mergeCell ref="Q15:Q16"/>
    <mergeCell ref="R15:R16"/>
    <mergeCell ref="S15:S16"/>
    <mergeCell ref="T15:T16"/>
    <mergeCell ref="S13:S14"/>
    <mergeCell ref="V9:Z9"/>
    <mergeCell ref="V10:V11"/>
    <mergeCell ref="W10:Z11"/>
    <mergeCell ref="AA10:AA11"/>
    <mergeCell ref="AB10:AB11"/>
    <mergeCell ref="AD10:AD11"/>
    <mergeCell ref="V12:V13"/>
    <mergeCell ref="W12:Z13"/>
    <mergeCell ref="AA12:AA13"/>
    <mergeCell ref="AB12:AB13"/>
    <mergeCell ref="AC12:AC13"/>
    <mergeCell ref="AD12:AD13"/>
    <mergeCell ref="AC10:AC11"/>
    <mergeCell ref="AF9:AJ9"/>
    <mergeCell ref="AF10:AF11"/>
    <mergeCell ref="AG10:AJ11"/>
    <mergeCell ref="AK10:AK11"/>
    <mergeCell ref="AL10:AL11"/>
    <mergeCell ref="AN10:AN11"/>
    <mergeCell ref="AF12:AF13"/>
    <mergeCell ref="AG12:AJ13"/>
    <mergeCell ref="AK12:AK13"/>
    <mergeCell ref="AL12:AL13"/>
    <mergeCell ref="AM12:AM13"/>
    <mergeCell ref="AN12:AN13"/>
    <mergeCell ref="AM10:AM11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FV76"/>
  <sheetViews>
    <sheetView showGridLines="0" workbookViewId="0">
      <selection activeCell="AG14" sqref="AG14"/>
    </sheetView>
  </sheetViews>
  <sheetFormatPr defaultRowHeight="15" x14ac:dyDescent="0.25"/>
  <cols>
    <col min="1" max="1" width="9.140625" style="65"/>
    <col min="2" max="7" width="6.7109375" style="65" customWidth="1"/>
    <col min="8" max="10" width="6.7109375" style="51" customWidth="1"/>
    <col min="11" max="11" width="4.42578125" style="65" customWidth="1"/>
    <col min="12" max="17" width="6.7109375" style="65" customWidth="1"/>
    <col min="18" max="20" width="6.7109375" style="51" customWidth="1"/>
    <col min="21" max="21" width="3.28515625" style="65" customWidth="1"/>
    <col min="22" max="27" width="6.7109375" style="65" customWidth="1"/>
    <col min="28" max="30" width="6.7109375" style="51" customWidth="1"/>
    <col min="31" max="31" width="4.42578125" style="65" customWidth="1"/>
    <col min="32" max="37" width="6.7109375" style="65" customWidth="1"/>
    <col min="38" max="40" width="6.7109375" style="51" customWidth="1"/>
    <col min="41" max="178" width="9.140625" style="65"/>
    <col min="179" max="16384" width="9.140625" style="51"/>
  </cols>
  <sheetData>
    <row r="1" spans="2:40" s="65" customFormat="1" x14ac:dyDescent="0.25"/>
    <row r="2" spans="2:40" s="65" customFormat="1" x14ac:dyDescent="0.25"/>
    <row r="3" spans="2:40" s="65" customFormat="1" x14ac:dyDescent="0.25"/>
    <row r="4" spans="2:40" s="65" customFormat="1" x14ac:dyDescent="0.25"/>
    <row r="5" spans="2:40" s="65" customFormat="1" ht="15.75" thickBot="1" x14ac:dyDescent="0.3"/>
    <row r="6" spans="2:40" s="65" customFormat="1" ht="15.75" thickBot="1" x14ac:dyDescent="0.3">
      <c r="B6" s="144" t="s">
        <v>63</v>
      </c>
      <c r="C6" s="145"/>
      <c r="D6" s="145"/>
      <c r="E6" s="145"/>
      <c r="F6" s="146"/>
      <c r="G6" s="78" t="s">
        <v>60</v>
      </c>
      <c r="H6" s="78" t="s">
        <v>84</v>
      </c>
      <c r="I6" s="78" t="s">
        <v>61</v>
      </c>
      <c r="J6" s="78" t="s">
        <v>62</v>
      </c>
      <c r="L6" s="144" t="s">
        <v>64</v>
      </c>
      <c r="M6" s="145"/>
      <c r="N6" s="145"/>
      <c r="O6" s="145"/>
      <c r="P6" s="146"/>
      <c r="Q6" s="78" t="s">
        <v>60</v>
      </c>
      <c r="R6" s="78" t="s">
        <v>84</v>
      </c>
      <c r="S6" s="78" t="s">
        <v>61</v>
      </c>
      <c r="T6" s="78" t="s">
        <v>62</v>
      </c>
    </row>
    <row r="7" spans="2:40" ht="15.75" thickBot="1" x14ac:dyDescent="0.3">
      <c r="B7" s="139" t="s">
        <v>74</v>
      </c>
      <c r="C7" s="149" t="str">
        <f ca="1">'Grupa A'!B8</f>
        <v>0 ()</v>
      </c>
      <c r="D7" s="150"/>
      <c r="E7" s="150"/>
      <c r="F7" s="151"/>
      <c r="G7" s="139">
        <f>SUM(H7:J8)</f>
        <v>0</v>
      </c>
      <c r="H7" s="140"/>
      <c r="I7" s="140"/>
      <c r="J7" s="140"/>
      <c r="L7" s="139" t="s">
        <v>68</v>
      </c>
      <c r="M7" s="155" t="str">
        <f ca="1">'Grupa A'!B7</f>
        <v>0 ()</v>
      </c>
      <c r="N7" s="155"/>
      <c r="O7" s="155"/>
      <c r="P7" s="155"/>
      <c r="Q7" s="139">
        <f>SUM(R7:T8)</f>
        <v>0</v>
      </c>
      <c r="R7" s="140"/>
      <c r="S7" s="140"/>
      <c r="T7" s="140"/>
    </row>
    <row r="8" spans="2:40" ht="15.75" thickBot="1" x14ac:dyDescent="0.3">
      <c r="B8" s="139"/>
      <c r="C8" s="152"/>
      <c r="D8" s="153"/>
      <c r="E8" s="153"/>
      <c r="F8" s="154"/>
      <c r="G8" s="139"/>
      <c r="H8" s="140"/>
      <c r="I8" s="140"/>
      <c r="J8" s="140"/>
      <c r="L8" s="139"/>
      <c r="M8" s="155"/>
      <c r="N8" s="155"/>
      <c r="O8" s="155"/>
      <c r="P8" s="155"/>
      <c r="Q8" s="139"/>
      <c r="R8" s="140"/>
      <c r="S8" s="140"/>
      <c r="T8" s="140"/>
      <c r="AB8" s="65"/>
      <c r="AC8" s="65"/>
      <c r="AD8" s="65"/>
      <c r="AL8" s="65"/>
      <c r="AM8" s="65"/>
      <c r="AN8" s="65"/>
    </row>
    <row r="9" spans="2:40" ht="15.75" thickBot="1" x14ac:dyDescent="0.3">
      <c r="B9" s="139" t="s">
        <v>75</v>
      </c>
      <c r="C9" s="155" t="str">
        <f ca="1">'Grupa B'!B9</f>
        <v>0 ()</v>
      </c>
      <c r="D9" s="155"/>
      <c r="E9" s="155"/>
      <c r="F9" s="155"/>
      <c r="G9" s="139">
        <f>SUM(H9:J10)</f>
        <v>0</v>
      </c>
      <c r="H9" s="140"/>
      <c r="I9" s="140"/>
      <c r="J9" s="140"/>
      <c r="L9" s="139" t="s">
        <v>77</v>
      </c>
      <c r="M9" s="155" t="str">
        <f>IF(G13=G15," ",IF(G13&gt;G15,C13,C15))</f>
        <v xml:space="preserve"> </v>
      </c>
      <c r="N9" s="155"/>
      <c r="O9" s="155"/>
      <c r="P9" s="155"/>
      <c r="Q9" s="139">
        <f>SUM(R9:T10)</f>
        <v>0</v>
      </c>
      <c r="R9" s="140"/>
      <c r="S9" s="140"/>
      <c r="T9" s="140"/>
      <c r="V9" s="141"/>
      <c r="W9" s="142"/>
      <c r="X9" s="142"/>
      <c r="Y9" s="142"/>
      <c r="Z9" s="143"/>
      <c r="AA9" s="78" t="s">
        <v>60</v>
      </c>
      <c r="AB9" s="78" t="s">
        <v>84</v>
      </c>
      <c r="AC9" s="78" t="s">
        <v>61</v>
      </c>
      <c r="AD9" s="78" t="s">
        <v>62</v>
      </c>
      <c r="AF9" s="141"/>
      <c r="AG9" s="142"/>
      <c r="AH9" s="142"/>
      <c r="AI9" s="142"/>
      <c r="AJ9" s="143"/>
      <c r="AK9" s="78" t="s">
        <v>60</v>
      </c>
      <c r="AL9" s="78" t="s">
        <v>84</v>
      </c>
      <c r="AM9" s="78" t="s">
        <v>61</v>
      </c>
      <c r="AN9" s="78" t="s">
        <v>62</v>
      </c>
    </row>
    <row r="10" spans="2:40" ht="15.75" customHeight="1" thickBot="1" x14ac:dyDescent="0.3">
      <c r="B10" s="139"/>
      <c r="C10" s="155"/>
      <c r="D10" s="155"/>
      <c r="E10" s="155"/>
      <c r="F10" s="155"/>
      <c r="G10" s="139"/>
      <c r="H10" s="140"/>
      <c r="I10" s="140"/>
      <c r="J10" s="140"/>
      <c r="L10" s="139"/>
      <c r="M10" s="155"/>
      <c r="N10" s="155"/>
      <c r="O10" s="155"/>
      <c r="P10" s="155"/>
      <c r="Q10" s="139"/>
      <c r="R10" s="140"/>
      <c r="S10" s="140"/>
      <c r="T10" s="140"/>
      <c r="V10" s="139" t="s">
        <v>87</v>
      </c>
      <c r="W10" s="155" t="str">
        <f>IF(Q7=Q9," ",IF(Q7&lt;Q9,M7,M9))</f>
        <v xml:space="preserve"> </v>
      </c>
      <c r="X10" s="155"/>
      <c r="Y10" s="155"/>
      <c r="Z10" s="155"/>
      <c r="AA10" s="139">
        <f>SUM(AB10:AD11)</f>
        <v>0</v>
      </c>
      <c r="AB10" s="140"/>
      <c r="AC10" s="140"/>
      <c r="AD10" s="140"/>
      <c r="AF10" s="139" t="s">
        <v>78</v>
      </c>
      <c r="AG10" s="155" t="str">
        <f>IF(Q7=Q9," ",IF(Q7&gt;Q9,M7,M9))</f>
        <v xml:space="preserve"> </v>
      </c>
      <c r="AH10" s="155"/>
      <c r="AI10" s="155"/>
      <c r="AJ10" s="155"/>
      <c r="AK10" s="139">
        <f>SUM(AL10:AN11)</f>
        <v>0</v>
      </c>
      <c r="AL10" s="140"/>
      <c r="AM10" s="140"/>
      <c r="AN10" s="137"/>
    </row>
    <row r="11" spans="2:40" ht="15.75" customHeight="1" thickBot="1" x14ac:dyDescent="0.3">
      <c r="H11" s="65"/>
      <c r="I11" s="65"/>
      <c r="J11" s="65"/>
      <c r="R11" s="65"/>
      <c r="S11" s="65"/>
      <c r="T11" s="65"/>
      <c r="V11" s="139"/>
      <c r="W11" s="155"/>
      <c r="X11" s="155"/>
      <c r="Y11" s="155"/>
      <c r="Z11" s="155"/>
      <c r="AA11" s="139"/>
      <c r="AB11" s="140"/>
      <c r="AC11" s="140"/>
      <c r="AD11" s="140"/>
      <c r="AF11" s="139"/>
      <c r="AG11" s="155"/>
      <c r="AH11" s="155"/>
      <c r="AI11" s="155"/>
      <c r="AJ11" s="155"/>
      <c r="AK11" s="139"/>
      <c r="AL11" s="140"/>
      <c r="AM11" s="140"/>
      <c r="AN11" s="138"/>
    </row>
    <row r="12" spans="2:40" ht="15.75" customHeight="1" thickBot="1" x14ac:dyDescent="0.3">
      <c r="B12" s="144" t="s">
        <v>29</v>
      </c>
      <c r="C12" s="145"/>
      <c r="D12" s="145"/>
      <c r="E12" s="145"/>
      <c r="F12" s="146"/>
      <c r="G12" s="78" t="s">
        <v>60</v>
      </c>
      <c r="H12" s="78" t="s">
        <v>84</v>
      </c>
      <c r="I12" s="78" t="s">
        <v>61</v>
      </c>
      <c r="J12" s="78" t="s">
        <v>62</v>
      </c>
      <c r="L12" s="144" t="s">
        <v>65</v>
      </c>
      <c r="M12" s="145"/>
      <c r="N12" s="145"/>
      <c r="O12" s="145"/>
      <c r="P12" s="146"/>
      <c r="Q12" s="78" t="s">
        <v>60</v>
      </c>
      <c r="R12" s="78" t="s">
        <v>84</v>
      </c>
      <c r="S12" s="78" t="s">
        <v>61</v>
      </c>
      <c r="T12" s="78" t="s">
        <v>62</v>
      </c>
      <c r="V12" s="139" t="s">
        <v>88</v>
      </c>
      <c r="W12" s="155" t="str">
        <f>IF(Q13=Q15," ",IF(Q13&lt;Q15,M13,M15))</f>
        <v xml:space="preserve"> </v>
      </c>
      <c r="X12" s="155"/>
      <c r="Y12" s="155"/>
      <c r="Z12" s="155"/>
      <c r="AA12" s="139">
        <f>SUM(AB12:AD13)</f>
        <v>0</v>
      </c>
      <c r="AB12" s="140"/>
      <c r="AC12" s="140"/>
      <c r="AD12" s="140"/>
      <c r="AF12" s="139" t="s">
        <v>79</v>
      </c>
      <c r="AG12" s="155" t="str">
        <f>IF(Q13=Q15," ",IF(Q13&gt;Q15,M13,M15))</f>
        <v xml:space="preserve"> </v>
      </c>
      <c r="AH12" s="155"/>
      <c r="AI12" s="155"/>
      <c r="AJ12" s="155"/>
      <c r="AK12" s="139">
        <f>SUM(AL12:AN13)</f>
        <v>0</v>
      </c>
      <c r="AL12" s="140"/>
      <c r="AM12" s="140"/>
      <c r="AN12" s="137"/>
    </row>
    <row r="13" spans="2:40" ht="15.75" customHeight="1" thickBot="1" x14ac:dyDescent="0.3">
      <c r="B13" s="139" t="s">
        <v>71</v>
      </c>
      <c r="C13" s="155" t="str">
        <f ca="1">'Grupa B'!B8</f>
        <v>0 ()</v>
      </c>
      <c r="D13" s="155"/>
      <c r="E13" s="155"/>
      <c r="F13" s="155"/>
      <c r="G13" s="139">
        <f>SUM(H13:J14)</f>
        <v>0</v>
      </c>
      <c r="H13" s="140"/>
      <c r="I13" s="140"/>
      <c r="J13" s="140"/>
      <c r="L13" s="139" t="s">
        <v>69</v>
      </c>
      <c r="M13" s="155" t="str">
        <f ca="1">'Grupa B'!B7</f>
        <v>0 ()</v>
      </c>
      <c r="N13" s="155"/>
      <c r="O13" s="155"/>
      <c r="P13" s="155"/>
      <c r="Q13" s="139">
        <f>SUM(R13:T14)</f>
        <v>0</v>
      </c>
      <c r="R13" s="140"/>
      <c r="S13" s="140"/>
      <c r="T13" s="140"/>
      <c r="V13" s="139"/>
      <c r="W13" s="155"/>
      <c r="X13" s="155"/>
      <c r="Y13" s="155"/>
      <c r="Z13" s="155"/>
      <c r="AA13" s="139"/>
      <c r="AB13" s="140"/>
      <c r="AC13" s="140"/>
      <c r="AD13" s="140"/>
      <c r="AF13" s="139"/>
      <c r="AG13" s="155"/>
      <c r="AH13" s="155"/>
      <c r="AI13" s="155"/>
      <c r="AJ13" s="155"/>
      <c r="AK13" s="139"/>
      <c r="AL13" s="140"/>
      <c r="AM13" s="140"/>
      <c r="AN13" s="138"/>
    </row>
    <row r="14" spans="2:40" ht="15.75" thickBot="1" x14ac:dyDescent="0.3">
      <c r="B14" s="139"/>
      <c r="C14" s="155"/>
      <c r="D14" s="155"/>
      <c r="E14" s="155"/>
      <c r="F14" s="155"/>
      <c r="G14" s="139"/>
      <c r="H14" s="140"/>
      <c r="I14" s="140"/>
      <c r="J14" s="140"/>
      <c r="L14" s="139"/>
      <c r="M14" s="155"/>
      <c r="N14" s="155"/>
      <c r="O14" s="155"/>
      <c r="P14" s="155"/>
      <c r="Q14" s="139"/>
      <c r="R14" s="140"/>
      <c r="S14" s="140"/>
      <c r="T14" s="140"/>
      <c r="AB14" s="65"/>
      <c r="AC14" s="65"/>
      <c r="AD14" s="65"/>
      <c r="AL14" s="65"/>
      <c r="AM14" s="65"/>
      <c r="AN14" s="65"/>
    </row>
    <row r="15" spans="2:40" ht="15.75" thickBot="1" x14ac:dyDescent="0.3">
      <c r="B15" s="139" t="s">
        <v>72</v>
      </c>
      <c r="C15" s="155" t="str">
        <f ca="1">'Grupa A'!B9</f>
        <v>0 ()</v>
      </c>
      <c r="D15" s="155"/>
      <c r="E15" s="155"/>
      <c r="F15" s="155"/>
      <c r="G15" s="139">
        <f>SUM(H15:J16)</f>
        <v>0</v>
      </c>
      <c r="H15" s="140"/>
      <c r="I15" s="140"/>
      <c r="J15" s="140"/>
      <c r="L15" s="139" t="s">
        <v>76</v>
      </c>
      <c r="M15" s="155" t="str">
        <f>IF(G7=G9," ",IF(G7&gt;G9,C7,C9))</f>
        <v xml:space="preserve"> </v>
      </c>
      <c r="N15" s="155"/>
      <c r="O15" s="155"/>
      <c r="P15" s="155"/>
      <c r="Q15" s="139">
        <f>SUM(R15:T16)</f>
        <v>0</v>
      </c>
      <c r="R15" s="140"/>
      <c r="S15" s="140"/>
      <c r="T15" s="140"/>
      <c r="AB15" s="65"/>
      <c r="AC15" s="65"/>
      <c r="AD15" s="65"/>
      <c r="AL15" s="65"/>
      <c r="AM15" s="65"/>
      <c r="AN15" s="65"/>
    </row>
    <row r="16" spans="2:40" ht="15.75" thickBot="1" x14ac:dyDescent="0.3">
      <c r="B16" s="139"/>
      <c r="C16" s="155"/>
      <c r="D16" s="155"/>
      <c r="E16" s="155"/>
      <c r="F16" s="155"/>
      <c r="G16" s="139"/>
      <c r="H16" s="140"/>
      <c r="I16" s="140"/>
      <c r="J16" s="140"/>
      <c r="L16" s="139"/>
      <c r="M16" s="155"/>
      <c r="N16" s="155"/>
      <c r="O16" s="155"/>
      <c r="P16" s="155"/>
      <c r="Q16" s="139"/>
      <c r="R16" s="140"/>
      <c r="S16" s="140"/>
      <c r="T16" s="140"/>
      <c r="AB16" s="65"/>
      <c r="AC16" s="65"/>
      <c r="AD16" s="65"/>
      <c r="AL16" s="65"/>
      <c r="AM16" s="65"/>
      <c r="AN16" s="65"/>
    </row>
    <row r="17" spans="2:27" s="65" customFormat="1" x14ac:dyDescent="0.25"/>
    <row r="18" spans="2:27" s="65" customFormat="1" x14ac:dyDescent="0.25">
      <c r="V18" s="125" t="s">
        <v>90</v>
      </c>
      <c r="W18" s="148" t="str">
        <f>IF(AK10&gt;AK12,AG10,AG12)</f>
        <v xml:space="preserve"> </v>
      </c>
      <c r="X18" s="148"/>
      <c r="Y18" s="148"/>
      <c r="Z18" s="148"/>
      <c r="AA18" s="125">
        <v>9</v>
      </c>
    </row>
    <row r="19" spans="2:27" s="65" customFormat="1" x14ac:dyDescent="0.25">
      <c r="V19" s="126" t="s">
        <v>91</v>
      </c>
      <c r="W19" s="147" t="str">
        <f>IF(AK10&lt;AK12,AG10,AG12)</f>
        <v xml:space="preserve"> </v>
      </c>
      <c r="X19" s="147"/>
      <c r="Y19" s="147"/>
      <c r="Z19" s="147"/>
      <c r="AA19" s="126">
        <v>8</v>
      </c>
    </row>
    <row r="20" spans="2:27" s="65" customFormat="1" ht="15.75" thickBot="1" x14ac:dyDescent="0.3">
      <c r="V20" s="126" t="s">
        <v>92</v>
      </c>
      <c r="W20" s="147" t="str">
        <f>IF(AA10&gt;AA12,W10,W12)</f>
        <v xml:space="preserve"> </v>
      </c>
      <c r="X20" s="147"/>
      <c r="Y20" s="147"/>
      <c r="Z20" s="147"/>
      <c r="AA20" s="126">
        <v>7</v>
      </c>
    </row>
    <row r="21" spans="2:27" s="65" customFormat="1" ht="15.75" thickBot="1" x14ac:dyDescent="0.3">
      <c r="B21" s="144"/>
      <c r="C21" s="145"/>
      <c r="D21" s="145"/>
      <c r="E21" s="145"/>
      <c r="F21" s="146"/>
      <c r="G21" s="78" t="s">
        <v>60</v>
      </c>
      <c r="H21" s="78" t="s">
        <v>84</v>
      </c>
      <c r="I21" s="78" t="s">
        <v>61</v>
      </c>
      <c r="J21" s="78" t="s">
        <v>62</v>
      </c>
      <c r="L21" s="144"/>
      <c r="M21" s="145"/>
      <c r="N21" s="145"/>
      <c r="O21" s="145"/>
      <c r="P21" s="146"/>
      <c r="Q21" s="78" t="s">
        <v>60</v>
      </c>
      <c r="R21" s="78" t="s">
        <v>84</v>
      </c>
      <c r="S21" s="78" t="s">
        <v>61</v>
      </c>
      <c r="T21" s="78" t="s">
        <v>62</v>
      </c>
      <c r="V21" s="126" t="s">
        <v>93</v>
      </c>
      <c r="W21" s="147" t="str">
        <f>IF(AA10&lt;AA12,W10,W12)</f>
        <v xml:space="preserve"> </v>
      </c>
      <c r="X21" s="147"/>
      <c r="Y21" s="147"/>
      <c r="Z21" s="147"/>
      <c r="AA21" s="126">
        <v>6</v>
      </c>
    </row>
    <row r="22" spans="2:27" s="65" customFormat="1" ht="15.75" thickBot="1" x14ac:dyDescent="0.3">
      <c r="B22" s="139" t="s">
        <v>73</v>
      </c>
      <c r="C22" s="149" t="str">
        <f ca="1">'Grupa A'!B10</f>
        <v>0 ()</v>
      </c>
      <c r="D22" s="150"/>
      <c r="E22" s="150"/>
      <c r="F22" s="151"/>
      <c r="G22" s="139">
        <f>SUM(H22:J23)</f>
        <v>0</v>
      </c>
      <c r="H22" s="140"/>
      <c r="I22" s="140"/>
      <c r="J22" s="140"/>
      <c r="L22" s="139" t="s">
        <v>85</v>
      </c>
      <c r="M22" s="155" t="str">
        <f>IF(G7=G9," ",IF(G7&lt;G9,C7,C9))</f>
        <v xml:space="preserve"> </v>
      </c>
      <c r="N22" s="155"/>
      <c r="O22" s="155"/>
      <c r="P22" s="155"/>
      <c r="Q22" s="139">
        <f>SUM(R22:T23)</f>
        <v>0</v>
      </c>
      <c r="R22" s="140"/>
      <c r="S22" s="140"/>
      <c r="T22" s="140"/>
      <c r="V22" s="126" t="s">
        <v>94</v>
      </c>
      <c r="W22" s="147" t="str">
        <f>IF(Q22&gt;Q24,M22,M24)</f>
        <v xml:space="preserve"> </v>
      </c>
      <c r="X22" s="147"/>
      <c r="Y22" s="147"/>
      <c r="Z22" s="147"/>
      <c r="AA22" s="126">
        <v>5</v>
      </c>
    </row>
    <row r="23" spans="2:27" s="65" customFormat="1" ht="15.75" thickBot="1" x14ac:dyDescent="0.3">
      <c r="B23" s="139"/>
      <c r="C23" s="152"/>
      <c r="D23" s="153"/>
      <c r="E23" s="153"/>
      <c r="F23" s="154"/>
      <c r="G23" s="139"/>
      <c r="H23" s="140"/>
      <c r="I23" s="140"/>
      <c r="J23" s="140"/>
      <c r="L23" s="139"/>
      <c r="M23" s="155"/>
      <c r="N23" s="155"/>
      <c r="O23" s="155"/>
      <c r="P23" s="155"/>
      <c r="Q23" s="139"/>
      <c r="R23" s="140"/>
      <c r="S23" s="140"/>
      <c r="T23" s="140"/>
      <c r="V23" s="126" t="s">
        <v>95</v>
      </c>
      <c r="W23" s="147" t="str">
        <f>IF(Q22&lt;Q24,M22,M24)</f>
        <v xml:space="preserve"> </v>
      </c>
      <c r="X23" s="147"/>
      <c r="Y23" s="147"/>
      <c r="Z23" s="147"/>
      <c r="AA23" s="126">
        <v>4</v>
      </c>
    </row>
    <row r="24" spans="2:27" s="65" customFormat="1" ht="15.75" thickBot="1" x14ac:dyDescent="0.3">
      <c r="B24" s="139" t="s">
        <v>70</v>
      </c>
      <c r="C24" s="155" t="str">
        <f ca="1">'Grupa B'!B10</f>
        <v>0 ()</v>
      </c>
      <c r="D24" s="155"/>
      <c r="E24" s="155"/>
      <c r="F24" s="155"/>
      <c r="G24" s="139">
        <f>SUM(H24:J25)</f>
        <v>0</v>
      </c>
      <c r="H24" s="140"/>
      <c r="I24" s="140"/>
      <c r="J24" s="140"/>
      <c r="L24" s="139" t="s">
        <v>86</v>
      </c>
      <c r="M24" s="155" t="str">
        <f>IF(G13=G15," ",IF(G13&lt;G15,C13,C15))</f>
        <v xml:space="preserve"> </v>
      </c>
      <c r="N24" s="155"/>
      <c r="O24" s="155"/>
      <c r="P24" s="155"/>
      <c r="Q24" s="139">
        <f>SUM(R24:T25)</f>
        <v>0</v>
      </c>
      <c r="R24" s="140"/>
      <c r="S24" s="140"/>
      <c r="T24" s="140"/>
      <c r="V24" s="126" t="s">
        <v>96</v>
      </c>
      <c r="W24" s="147" t="str">
        <f ca="1">IF(G22&gt;G24,C22,C24)</f>
        <v>0 ()</v>
      </c>
      <c r="X24" s="147"/>
      <c r="Y24" s="147"/>
      <c r="Z24" s="147"/>
      <c r="AA24" s="126">
        <v>3</v>
      </c>
    </row>
    <row r="25" spans="2:27" s="65" customFormat="1" ht="15.75" thickBot="1" x14ac:dyDescent="0.3">
      <c r="B25" s="139"/>
      <c r="C25" s="155"/>
      <c r="D25" s="155"/>
      <c r="E25" s="155"/>
      <c r="F25" s="155"/>
      <c r="G25" s="139"/>
      <c r="H25" s="140"/>
      <c r="I25" s="140"/>
      <c r="J25" s="140"/>
      <c r="L25" s="139"/>
      <c r="M25" s="155"/>
      <c r="N25" s="155"/>
      <c r="O25" s="155"/>
      <c r="P25" s="155"/>
      <c r="Q25" s="139"/>
      <c r="R25" s="140"/>
      <c r="S25" s="140"/>
      <c r="T25" s="140"/>
      <c r="V25" s="126" t="s">
        <v>97</v>
      </c>
      <c r="W25" s="147" t="str">
        <f ca="1">IF(G22&lt;G24,C22,C24)</f>
        <v>0 ()</v>
      </c>
      <c r="X25" s="147"/>
      <c r="Y25" s="147"/>
      <c r="Z25" s="147"/>
      <c r="AA25" s="126">
        <v>2</v>
      </c>
    </row>
    <row r="26" spans="2:27" s="65" customFormat="1" x14ac:dyDescent="0.25">
      <c r="V26" s="126" t="s">
        <v>98</v>
      </c>
      <c r="W26" s="147" t="str">
        <f ca="1">'Grupa A'!B11</f>
        <v>0 ()</v>
      </c>
      <c r="X26" s="147"/>
      <c r="Y26" s="147"/>
      <c r="Z26" s="147"/>
      <c r="AA26" s="126">
        <v>1</v>
      </c>
    </row>
    <row r="27" spans="2:27" s="65" customFormat="1" x14ac:dyDescent="0.25"/>
    <row r="28" spans="2:27" s="65" customFormat="1" x14ac:dyDescent="0.25"/>
    <row r="29" spans="2:27" s="65" customFormat="1" x14ac:dyDescent="0.25"/>
    <row r="30" spans="2:27" s="65" customFormat="1" x14ac:dyDescent="0.25"/>
    <row r="31" spans="2:27" s="65" customFormat="1" x14ac:dyDescent="0.25"/>
    <row r="32" spans="2:27" s="65" customFormat="1" x14ac:dyDescent="0.25"/>
    <row r="33" s="65" customFormat="1" x14ac:dyDescent="0.25"/>
    <row r="34" s="65" customFormat="1" x14ac:dyDescent="0.25"/>
    <row r="35" s="65" customFormat="1" x14ac:dyDescent="0.25"/>
    <row r="36" s="65" customFormat="1" x14ac:dyDescent="0.25"/>
    <row r="37" s="65" customFormat="1" x14ac:dyDescent="0.25"/>
    <row r="38" s="65" customFormat="1" x14ac:dyDescent="0.25"/>
    <row r="39" s="65" customFormat="1" x14ac:dyDescent="0.25"/>
    <row r="40" s="65" customFormat="1" x14ac:dyDescent="0.25"/>
    <row r="41" s="65" customFormat="1" x14ac:dyDescent="0.25"/>
    <row r="42" s="65" customFormat="1" x14ac:dyDescent="0.25"/>
    <row r="43" s="65" customFormat="1" x14ac:dyDescent="0.25"/>
    <row r="44" s="65" customFormat="1" x14ac:dyDescent="0.25"/>
    <row r="45" s="65" customFormat="1" x14ac:dyDescent="0.25"/>
    <row r="46" s="65" customFormat="1" x14ac:dyDescent="0.25"/>
    <row r="47" s="65" customFormat="1" x14ac:dyDescent="0.25"/>
    <row r="48" s="65" customFormat="1" x14ac:dyDescent="0.25"/>
    <row r="49" s="65" customFormat="1" x14ac:dyDescent="0.25"/>
    <row r="50" s="65" customFormat="1" x14ac:dyDescent="0.25"/>
    <row r="51" s="65" customFormat="1" x14ac:dyDescent="0.25"/>
    <row r="52" s="65" customFormat="1" x14ac:dyDescent="0.25"/>
    <row r="53" s="65" customFormat="1" x14ac:dyDescent="0.25"/>
    <row r="54" s="65" customFormat="1" x14ac:dyDescent="0.25"/>
    <row r="55" s="65" customFormat="1" x14ac:dyDescent="0.25"/>
    <row r="56" s="65" customFormat="1" x14ac:dyDescent="0.25"/>
    <row r="57" s="65" customFormat="1" x14ac:dyDescent="0.25"/>
    <row r="58" s="65" customFormat="1" x14ac:dyDescent="0.25"/>
    <row r="59" s="65" customFormat="1" x14ac:dyDescent="0.25"/>
    <row r="60" s="65" customFormat="1" x14ac:dyDescent="0.25"/>
    <row r="61" s="65" customFormat="1" x14ac:dyDescent="0.25"/>
    <row r="62" s="65" customFormat="1" x14ac:dyDescent="0.25"/>
    <row r="63" s="65" customFormat="1" x14ac:dyDescent="0.25"/>
    <row r="64" s="65" customFormat="1" x14ac:dyDescent="0.25"/>
    <row r="65" s="65" customFormat="1" x14ac:dyDescent="0.25"/>
    <row r="66" s="65" customFormat="1" x14ac:dyDescent="0.25"/>
    <row r="67" s="65" customFormat="1" x14ac:dyDescent="0.25"/>
    <row r="68" s="65" customFormat="1" x14ac:dyDescent="0.25"/>
    <row r="69" s="65" customFormat="1" x14ac:dyDescent="0.25"/>
    <row r="70" s="65" customFormat="1" x14ac:dyDescent="0.25"/>
    <row r="71" s="65" customFormat="1" x14ac:dyDescent="0.25"/>
    <row r="72" s="65" customFormat="1" x14ac:dyDescent="0.25"/>
    <row r="73" s="65" customFormat="1" x14ac:dyDescent="0.25"/>
    <row r="74" s="65" customFormat="1" x14ac:dyDescent="0.25"/>
    <row r="75" s="65" customFormat="1" x14ac:dyDescent="0.25"/>
    <row r="76" s="65" customFormat="1" x14ac:dyDescent="0.25"/>
  </sheetData>
  <sheetProtection password="E163" sheet="1" objects="1" scenarios="1"/>
  <mergeCells count="113">
    <mergeCell ref="L21:P21"/>
    <mergeCell ref="L22:L23"/>
    <mergeCell ref="M22:P23"/>
    <mergeCell ref="Q22:Q23"/>
    <mergeCell ref="W23:Z23"/>
    <mergeCell ref="W24:Z24"/>
    <mergeCell ref="W25:Z25"/>
    <mergeCell ref="W26:Z26"/>
    <mergeCell ref="R22:R23"/>
    <mergeCell ref="S22:S23"/>
    <mergeCell ref="T22:T23"/>
    <mergeCell ref="L24:L25"/>
    <mergeCell ref="M24:P25"/>
    <mergeCell ref="Q24:Q25"/>
    <mergeCell ref="R24:R25"/>
    <mergeCell ref="S24:S25"/>
    <mergeCell ref="T24:T25"/>
    <mergeCell ref="B21:F21"/>
    <mergeCell ref="B22:B23"/>
    <mergeCell ref="C22:F23"/>
    <mergeCell ref="G22:G23"/>
    <mergeCell ref="H22:H23"/>
    <mergeCell ref="I22:I23"/>
    <mergeCell ref="J22:J23"/>
    <mergeCell ref="B24:B25"/>
    <mergeCell ref="C24:F25"/>
    <mergeCell ref="G24:G25"/>
    <mergeCell ref="H24:H25"/>
    <mergeCell ref="I24:I25"/>
    <mergeCell ref="J24:J25"/>
    <mergeCell ref="W18:Z18"/>
    <mergeCell ref="W19:Z19"/>
    <mergeCell ref="W20:Z20"/>
    <mergeCell ref="W21:Z21"/>
    <mergeCell ref="W22:Z22"/>
    <mergeCell ref="J9:J10"/>
    <mergeCell ref="B6:F6"/>
    <mergeCell ref="L6:P6"/>
    <mergeCell ref="B7:B8"/>
    <mergeCell ref="C7:F8"/>
    <mergeCell ref="G7:G8"/>
    <mergeCell ref="H7:H8"/>
    <mergeCell ref="I7:I8"/>
    <mergeCell ref="J7:J8"/>
    <mergeCell ref="L7:L8"/>
    <mergeCell ref="M7:P8"/>
    <mergeCell ref="B9:B10"/>
    <mergeCell ref="C9:F10"/>
    <mergeCell ref="G9:G10"/>
    <mergeCell ref="H9:H10"/>
    <mergeCell ref="I9:I10"/>
    <mergeCell ref="T9:T10"/>
    <mergeCell ref="Q7:Q8"/>
    <mergeCell ref="R7:R8"/>
    <mergeCell ref="S7:S8"/>
    <mergeCell ref="T7:T8"/>
    <mergeCell ref="L9:L10"/>
    <mergeCell ref="M9:P10"/>
    <mergeCell ref="Q9:Q10"/>
    <mergeCell ref="R9:R10"/>
    <mergeCell ref="S9:S10"/>
    <mergeCell ref="AB12:AB13"/>
    <mergeCell ref="V9:Z9"/>
    <mergeCell ref="AF9:AJ9"/>
    <mergeCell ref="V10:V11"/>
    <mergeCell ref="W10:Z11"/>
    <mergeCell ref="AA10:AA11"/>
    <mergeCell ref="AB10:AB11"/>
    <mergeCell ref="AC10:AC11"/>
    <mergeCell ref="AD10:AD11"/>
    <mergeCell ref="AF10:AF11"/>
    <mergeCell ref="AG10:AJ11"/>
    <mergeCell ref="B15:B16"/>
    <mergeCell ref="C15:F16"/>
    <mergeCell ref="G15:G16"/>
    <mergeCell ref="H15:H16"/>
    <mergeCell ref="I15:I16"/>
    <mergeCell ref="T15:T16"/>
    <mergeCell ref="Q13:Q14"/>
    <mergeCell ref="B12:F12"/>
    <mergeCell ref="L12:P12"/>
    <mergeCell ref="R13:R14"/>
    <mergeCell ref="S13:S14"/>
    <mergeCell ref="T13:T14"/>
    <mergeCell ref="B13:B14"/>
    <mergeCell ref="C13:F14"/>
    <mergeCell ref="G13:G14"/>
    <mergeCell ref="H13:H14"/>
    <mergeCell ref="I13:I14"/>
    <mergeCell ref="J13:J14"/>
    <mergeCell ref="L13:L14"/>
    <mergeCell ref="M13:P14"/>
    <mergeCell ref="AC12:AC13"/>
    <mergeCell ref="V12:V13"/>
    <mergeCell ref="W12:Z13"/>
    <mergeCell ref="AA12:AA13"/>
    <mergeCell ref="L15:L16"/>
    <mergeCell ref="M15:P16"/>
    <mergeCell ref="Q15:Q16"/>
    <mergeCell ref="R15:R16"/>
    <mergeCell ref="S15:S16"/>
    <mergeCell ref="AN10:AN11"/>
    <mergeCell ref="J15:J16"/>
    <mergeCell ref="AM12:AM13"/>
    <mergeCell ref="AN12:AN13"/>
    <mergeCell ref="AD12:AD13"/>
    <mergeCell ref="AF12:AF13"/>
    <mergeCell ref="AG12:AJ13"/>
    <mergeCell ref="AK12:AK13"/>
    <mergeCell ref="AL12:AL13"/>
    <mergeCell ref="AK10:AK11"/>
    <mergeCell ref="AL10:AL11"/>
    <mergeCell ref="AM10:AM11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HO147"/>
  <sheetViews>
    <sheetView showGridLines="0" workbookViewId="0">
      <selection activeCell="AG18" sqref="AG18:AJ19"/>
    </sheetView>
  </sheetViews>
  <sheetFormatPr defaultRowHeight="15" x14ac:dyDescent="0.25"/>
  <cols>
    <col min="1" max="1" width="5.85546875" style="65" customWidth="1"/>
    <col min="2" max="7" width="6.7109375" style="65" customWidth="1"/>
    <col min="8" max="10" width="6.7109375" style="51" customWidth="1"/>
    <col min="11" max="11" width="5.28515625" style="65" customWidth="1"/>
    <col min="12" max="17" width="6.7109375" style="65" customWidth="1"/>
    <col min="18" max="20" width="6.7109375" style="51" customWidth="1"/>
    <col min="21" max="21" width="4.5703125" style="65" customWidth="1"/>
    <col min="22" max="27" width="6.7109375" style="65" customWidth="1"/>
    <col min="28" max="30" width="6.7109375" style="51" customWidth="1"/>
    <col min="31" max="31" width="4" style="65" customWidth="1"/>
    <col min="32" max="37" width="6.7109375" style="65" customWidth="1"/>
    <col min="38" max="40" width="6.7109375" style="51" customWidth="1"/>
    <col min="41" max="223" width="9.140625" style="65"/>
    <col min="224" max="16384" width="9.140625" style="51"/>
  </cols>
  <sheetData>
    <row r="1" spans="2:40" s="65" customFormat="1" x14ac:dyDescent="0.25"/>
    <row r="2" spans="2:40" s="65" customFormat="1" x14ac:dyDescent="0.25"/>
    <row r="3" spans="2:40" s="65" customFormat="1" x14ac:dyDescent="0.25"/>
    <row r="4" spans="2:40" s="65" customFormat="1" x14ac:dyDescent="0.25"/>
    <row r="5" spans="2:40" s="65" customFormat="1" ht="15.75" thickBot="1" x14ac:dyDescent="0.3"/>
    <row r="6" spans="2:40" s="65" customFormat="1" ht="15.75" thickBot="1" x14ac:dyDescent="0.3">
      <c r="B6" s="144" t="s">
        <v>63</v>
      </c>
      <c r="C6" s="145"/>
      <c r="D6" s="145"/>
      <c r="E6" s="145"/>
      <c r="F6" s="146"/>
      <c r="G6" s="78" t="s">
        <v>60</v>
      </c>
      <c r="H6" s="78" t="s">
        <v>84</v>
      </c>
      <c r="I6" s="78" t="s">
        <v>61</v>
      </c>
      <c r="J6" s="78" t="s">
        <v>62</v>
      </c>
      <c r="K6" s="87"/>
    </row>
    <row r="7" spans="2:40" ht="15.75" customHeight="1" thickBot="1" x14ac:dyDescent="0.3">
      <c r="B7" s="139" t="s">
        <v>68</v>
      </c>
      <c r="C7" s="149" t="str">
        <f ca="1">'Grupa A'!B7</f>
        <v>0 ()</v>
      </c>
      <c r="D7" s="150"/>
      <c r="E7" s="150"/>
      <c r="F7" s="151"/>
      <c r="G7" s="139">
        <f>SUM(H7:J8)</f>
        <v>0</v>
      </c>
      <c r="H7" s="140"/>
      <c r="I7" s="140"/>
      <c r="J7" s="140"/>
      <c r="K7" s="91"/>
      <c r="R7" s="65"/>
      <c r="S7" s="65"/>
      <c r="T7" s="65"/>
      <c r="AB7" s="65"/>
      <c r="AC7" s="65"/>
      <c r="AD7" s="65"/>
      <c r="AL7" s="65"/>
      <c r="AM7" s="65"/>
      <c r="AN7" s="65"/>
    </row>
    <row r="8" spans="2:40" ht="15.75" customHeight="1" thickBot="1" x14ac:dyDescent="0.3">
      <c r="B8" s="139"/>
      <c r="C8" s="152"/>
      <c r="D8" s="153"/>
      <c r="E8" s="153"/>
      <c r="F8" s="154"/>
      <c r="G8" s="139"/>
      <c r="H8" s="140"/>
      <c r="I8" s="140"/>
      <c r="J8" s="140"/>
      <c r="K8" s="91"/>
      <c r="R8" s="65"/>
      <c r="S8" s="65"/>
      <c r="T8" s="65"/>
      <c r="AB8" s="65"/>
      <c r="AC8" s="65"/>
      <c r="AD8" s="65"/>
      <c r="AL8" s="65"/>
      <c r="AM8" s="65"/>
      <c r="AN8" s="65"/>
    </row>
    <row r="9" spans="2:40" ht="15.75" customHeight="1" thickBot="1" x14ac:dyDescent="0.3">
      <c r="B9" s="139" t="s">
        <v>70</v>
      </c>
      <c r="C9" s="155" t="str">
        <f ca="1">'Grupa B'!B10</f>
        <v>0 ()</v>
      </c>
      <c r="D9" s="155"/>
      <c r="E9" s="155"/>
      <c r="F9" s="155"/>
      <c r="G9" s="139">
        <f>SUM(H9:J10)</f>
        <v>0</v>
      </c>
      <c r="H9" s="140"/>
      <c r="I9" s="140"/>
      <c r="J9" s="140"/>
      <c r="K9" s="91"/>
      <c r="R9" s="65"/>
      <c r="S9" s="65"/>
      <c r="T9" s="65"/>
      <c r="AB9" s="65"/>
      <c r="AC9" s="65"/>
      <c r="AD9" s="65"/>
      <c r="AL9" s="65"/>
      <c r="AM9" s="65"/>
      <c r="AN9" s="65"/>
    </row>
    <row r="10" spans="2:40" ht="15.75" customHeight="1" thickBot="1" x14ac:dyDescent="0.3">
      <c r="B10" s="139"/>
      <c r="C10" s="155"/>
      <c r="D10" s="155"/>
      <c r="E10" s="155"/>
      <c r="F10" s="155"/>
      <c r="G10" s="139"/>
      <c r="H10" s="140"/>
      <c r="I10" s="140"/>
      <c r="J10" s="140"/>
      <c r="K10" s="91"/>
      <c r="R10" s="65"/>
      <c r="S10" s="65"/>
      <c r="T10" s="65"/>
      <c r="AB10" s="65"/>
      <c r="AC10" s="65"/>
      <c r="AD10" s="65"/>
      <c r="AL10" s="65"/>
      <c r="AM10" s="65"/>
      <c r="AN10" s="65"/>
    </row>
    <row r="11" spans="2:40" s="65" customFormat="1" ht="15.75" thickBot="1" x14ac:dyDescent="0.3"/>
    <row r="12" spans="2:40" ht="15.75" thickBot="1" x14ac:dyDescent="0.3">
      <c r="B12" s="144" t="s">
        <v>29</v>
      </c>
      <c r="C12" s="145"/>
      <c r="D12" s="145"/>
      <c r="E12" s="145"/>
      <c r="F12" s="146"/>
      <c r="G12" s="78" t="s">
        <v>60</v>
      </c>
      <c r="H12" s="78" t="s">
        <v>84</v>
      </c>
      <c r="I12" s="78" t="s">
        <v>61</v>
      </c>
      <c r="J12" s="78" t="s">
        <v>62</v>
      </c>
      <c r="K12" s="87"/>
      <c r="L12" s="144" t="s">
        <v>66</v>
      </c>
      <c r="M12" s="145"/>
      <c r="N12" s="145"/>
      <c r="O12" s="145"/>
      <c r="P12" s="146"/>
      <c r="Q12" s="78" t="s">
        <v>60</v>
      </c>
      <c r="R12" s="78" t="s">
        <v>84</v>
      </c>
      <c r="S12" s="78" t="s">
        <v>61</v>
      </c>
      <c r="T12" s="78" t="s">
        <v>62</v>
      </c>
      <c r="U12" s="87"/>
      <c r="AB12" s="65"/>
      <c r="AC12" s="65"/>
      <c r="AD12" s="65"/>
      <c r="AL12" s="65"/>
      <c r="AM12" s="65"/>
      <c r="AN12" s="65"/>
    </row>
    <row r="13" spans="2:40" ht="15.75" customHeight="1" thickBot="1" x14ac:dyDescent="0.3">
      <c r="B13" s="139" t="s">
        <v>71</v>
      </c>
      <c r="C13" s="155" t="str">
        <f ca="1">'Grupa B'!B8</f>
        <v>0 ()</v>
      </c>
      <c r="D13" s="155"/>
      <c r="E13" s="155"/>
      <c r="F13" s="155"/>
      <c r="G13" s="139">
        <f>SUM(H13:J14)</f>
        <v>0</v>
      </c>
      <c r="H13" s="140"/>
      <c r="I13" s="140"/>
      <c r="J13" s="140"/>
      <c r="K13" s="91"/>
      <c r="L13" s="139" t="s">
        <v>76</v>
      </c>
      <c r="M13" s="155" t="str">
        <f>IF(G7=G9," ",IF(G7&gt;G9,C7,C9))</f>
        <v xml:space="preserve"> </v>
      </c>
      <c r="N13" s="155"/>
      <c r="O13" s="155"/>
      <c r="P13" s="155"/>
      <c r="Q13" s="139">
        <f>SUM(R13:T14)</f>
        <v>0</v>
      </c>
      <c r="R13" s="140"/>
      <c r="S13" s="140"/>
      <c r="T13" s="140"/>
      <c r="U13" s="91"/>
      <c r="AB13" s="65"/>
      <c r="AC13" s="65"/>
      <c r="AD13" s="65"/>
      <c r="AL13" s="65"/>
      <c r="AM13" s="65"/>
      <c r="AN13" s="65"/>
    </row>
    <row r="14" spans="2:40" ht="15.75" customHeight="1" thickBot="1" x14ac:dyDescent="0.3">
      <c r="B14" s="139"/>
      <c r="C14" s="155"/>
      <c r="D14" s="155"/>
      <c r="E14" s="155"/>
      <c r="F14" s="155"/>
      <c r="G14" s="139"/>
      <c r="H14" s="140"/>
      <c r="I14" s="140"/>
      <c r="J14" s="140"/>
      <c r="K14" s="91"/>
      <c r="L14" s="139"/>
      <c r="M14" s="155"/>
      <c r="N14" s="155"/>
      <c r="O14" s="155"/>
      <c r="P14" s="155"/>
      <c r="Q14" s="139"/>
      <c r="R14" s="140"/>
      <c r="S14" s="140"/>
      <c r="T14" s="140"/>
      <c r="U14" s="91"/>
      <c r="AB14" s="65"/>
      <c r="AC14" s="65"/>
      <c r="AD14" s="65"/>
      <c r="AL14" s="65"/>
      <c r="AM14" s="65"/>
      <c r="AN14" s="65"/>
    </row>
    <row r="15" spans="2:40" ht="15.75" customHeight="1" thickBot="1" x14ac:dyDescent="0.3">
      <c r="B15" s="139" t="s">
        <v>72</v>
      </c>
      <c r="C15" s="155" t="str">
        <f ca="1">'Grupa A'!B9</f>
        <v>0 ()</v>
      </c>
      <c r="D15" s="155"/>
      <c r="E15" s="155"/>
      <c r="F15" s="155"/>
      <c r="G15" s="139">
        <f>SUM(H15:J16)</f>
        <v>0</v>
      </c>
      <c r="H15" s="140"/>
      <c r="I15" s="140"/>
      <c r="J15" s="140"/>
      <c r="K15" s="91"/>
      <c r="L15" s="139" t="s">
        <v>77</v>
      </c>
      <c r="M15" s="155" t="str">
        <f>IF(G13=G15," ",IF(G13&gt;G15,C13,C15))</f>
        <v xml:space="preserve"> </v>
      </c>
      <c r="N15" s="155"/>
      <c r="O15" s="155"/>
      <c r="P15" s="155"/>
      <c r="Q15" s="139">
        <f>SUM(R15:T16)</f>
        <v>0</v>
      </c>
      <c r="R15" s="140"/>
      <c r="S15" s="140"/>
      <c r="T15" s="140"/>
      <c r="U15" s="91"/>
      <c r="V15" s="141"/>
      <c r="W15" s="142"/>
      <c r="X15" s="142"/>
      <c r="Y15" s="142"/>
      <c r="Z15" s="143"/>
      <c r="AA15" s="78" t="s">
        <v>60</v>
      </c>
      <c r="AB15" s="78" t="s">
        <v>84</v>
      </c>
      <c r="AC15" s="78" t="s">
        <v>61</v>
      </c>
      <c r="AD15" s="78" t="s">
        <v>62</v>
      </c>
      <c r="AE15" s="87"/>
      <c r="AF15" s="141"/>
      <c r="AG15" s="142"/>
      <c r="AH15" s="142"/>
      <c r="AI15" s="142"/>
      <c r="AJ15" s="143"/>
      <c r="AK15" s="78" t="s">
        <v>60</v>
      </c>
      <c r="AL15" s="78" t="s">
        <v>84</v>
      </c>
      <c r="AM15" s="78" t="s">
        <v>61</v>
      </c>
      <c r="AN15" s="78" t="s">
        <v>62</v>
      </c>
    </row>
    <row r="16" spans="2:40" ht="15.75" customHeight="1" thickBot="1" x14ac:dyDescent="0.3">
      <c r="B16" s="139"/>
      <c r="C16" s="155"/>
      <c r="D16" s="155"/>
      <c r="E16" s="155"/>
      <c r="F16" s="155"/>
      <c r="G16" s="139"/>
      <c r="H16" s="140"/>
      <c r="I16" s="140"/>
      <c r="J16" s="140"/>
      <c r="K16" s="91"/>
      <c r="L16" s="139"/>
      <c r="M16" s="155"/>
      <c r="N16" s="155"/>
      <c r="O16" s="155"/>
      <c r="P16" s="155"/>
      <c r="Q16" s="139"/>
      <c r="R16" s="140"/>
      <c r="S16" s="140"/>
      <c r="T16" s="140"/>
      <c r="U16" s="91"/>
      <c r="V16" s="139" t="s">
        <v>80</v>
      </c>
      <c r="W16" s="155" t="str">
        <f>IF(Q13=Q15," ",IF(Q13&lt;Q15,M13,M15))</f>
        <v xml:space="preserve"> </v>
      </c>
      <c r="X16" s="155"/>
      <c r="Y16" s="155"/>
      <c r="Z16" s="155"/>
      <c r="AA16" s="139">
        <f>SUM(AB16:AD17)</f>
        <v>0</v>
      </c>
      <c r="AB16" s="140"/>
      <c r="AC16" s="140"/>
      <c r="AD16" s="140"/>
      <c r="AE16" s="91"/>
      <c r="AF16" s="139" t="s">
        <v>82</v>
      </c>
      <c r="AG16" s="155" t="str">
        <f>IF(Q13=Q15," ",IF(Q13&gt;Q15,M13,M15))</f>
        <v xml:space="preserve"> </v>
      </c>
      <c r="AH16" s="155"/>
      <c r="AI16" s="155"/>
      <c r="AJ16" s="155"/>
      <c r="AK16" s="139">
        <f>SUM(AL16:AN17)</f>
        <v>0</v>
      </c>
      <c r="AL16" s="140"/>
      <c r="AM16" s="140"/>
      <c r="AN16" s="137"/>
    </row>
    <row r="17" spans="2:40" ht="15.75" customHeight="1" thickBot="1" x14ac:dyDescent="0.3">
      <c r="H17" s="65"/>
      <c r="I17" s="65"/>
      <c r="J17" s="65"/>
      <c r="R17" s="65"/>
      <c r="S17" s="65"/>
      <c r="T17" s="65"/>
      <c r="V17" s="139"/>
      <c r="W17" s="155"/>
      <c r="X17" s="155"/>
      <c r="Y17" s="155"/>
      <c r="Z17" s="155"/>
      <c r="AA17" s="139"/>
      <c r="AB17" s="140"/>
      <c r="AC17" s="140"/>
      <c r="AD17" s="140"/>
      <c r="AE17" s="91"/>
      <c r="AF17" s="139"/>
      <c r="AG17" s="155"/>
      <c r="AH17" s="155"/>
      <c r="AI17" s="155"/>
      <c r="AJ17" s="155"/>
      <c r="AK17" s="139"/>
      <c r="AL17" s="140"/>
      <c r="AM17" s="140"/>
      <c r="AN17" s="138"/>
    </row>
    <row r="18" spans="2:40" ht="15.75" customHeight="1" thickBot="1" x14ac:dyDescent="0.3">
      <c r="B18" s="144" t="s">
        <v>64</v>
      </c>
      <c r="C18" s="145"/>
      <c r="D18" s="145"/>
      <c r="E18" s="145"/>
      <c r="F18" s="146"/>
      <c r="G18" s="78" t="s">
        <v>60</v>
      </c>
      <c r="H18" s="78" t="s">
        <v>84</v>
      </c>
      <c r="I18" s="78" t="s">
        <v>61</v>
      </c>
      <c r="J18" s="78" t="s">
        <v>62</v>
      </c>
      <c r="K18" s="87"/>
      <c r="L18" s="144" t="s">
        <v>67</v>
      </c>
      <c r="M18" s="145"/>
      <c r="N18" s="145"/>
      <c r="O18" s="145"/>
      <c r="P18" s="146"/>
      <c r="Q18" s="78" t="s">
        <v>60</v>
      </c>
      <c r="R18" s="78" t="s">
        <v>84</v>
      </c>
      <c r="S18" s="78" t="s">
        <v>61</v>
      </c>
      <c r="T18" s="78" t="s">
        <v>62</v>
      </c>
      <c r="U18" s="87"/>
      <c r="V18" s="139" t="s">
        <v>81</v>
      </c>
      <c r="W18" s="155" t="str">
        <f>IF(Q19=Q21," ",IF(Q19&lt;Q21,M19,M21))</f>
        <v xml:space="preserve"> </v>
      </c>
      <c r="X18" s="155"/>
      <c r="Y18" s="155"/>
      <c r="Z18" s="155"/>
      <c r="AA18" s="139">
        <f>SUM(AB18:AD19)</f>
        <v>0</v>
      </c>
      <c r="AB18" s="140"/>
      <c r="AC18" s="140"/>
      <c r="AD18" s="140"/>
      <c r="AE18" s="91"/>
      <c r="AF18" s="139" t="s">
        <v>83</v>
      </c>
      <c r="AG18" s="155" t="str">
        <f>IF(Q19=Q21," ",IF(Q19&gt;Q21,M19,M21))</f>
        <v xml:space="preserve"> </v>
      </c>
      <c r="AH18" s="155"/>
      <c r="AI18" s="155"/>
      <c r="AJ18" s="155"/>
      <c r="AK18" s="139">
        <f>SUM(AL18:AN19)</f>
        <v>0</v>
      </c>
      <c r="AL18" s="140"/>
      <c r="AM18" s="140"/>
      <c r="AN18" s="137"/>
    </row>
    <row r="19" spans="2:40" ht="15.75" customHeight="1" thickBot="1" x14ac:dyDescent="0.3">
      <c r="B19" s="139" t="s">
        <v>69</v>
      </c>
      <c r="C19" s="155" t="str">
        <f ca="1">'Grupa B'!B7</f>
        <v>0 ()</v>
      </c>
      <c r="D19" s="155"/>
      <c r="E19" s="155"/>
      <c r="F19" s="155"/>
      <c r="G19" s="139">
        <f>SUM(H19:J20)</f>
        <v>0</v>
      </c>
      <c r="H19" s="140"/>
      <c r="I19" s="140"/>
      <c r="J19" s="140"/>
      <c r="K19" s="91"/>
      <c r="L19" s="139" t="s">
        <v>78</v>
      </c>
      <c r="M19" s="155" t="str">
        <f>IF(G19=G21," ",IF(G19&gt;G21,C19,C21))</f>
        <v xml:space="preserve"> </v>
      </c>
      <c r="N19" s="155"/>
      <c r="O19" s="155"/>
      <c r="P19" s="155"/>
      <c r="Q19" s="139">
        <f>SUM(R19:T20)</f>
        <v>0</v>
      </c>
      <c r="R19" s="140"/>
      <c r="S19" s="140"/>
      <c r="T19" s="140"/>
      <c r="U19" s="91"/>
      <c r="V19" s="139"/>
      <c r="W19" s="155"/>
      <c r="X19" s="155"/>
      <c r="Y19" s="155"/>
      <c r="Z19" s="155"/>
      <c r="AA19" s="139"/>
      <c r="AB19" s="140"/>
      <c r="AC19" s="140"/>
      <c r="AD19" s="140"/>
      <c r="AE19" s="91"/>
      <c r="AF19" s="139"/>
      <c r="AG19" s="155"/>
      <c r="AH19" s="155"/>
      <c r="AI19" s="155"/>
      <c r="AJ19" s="155"/>
      <c r="AK19" s="139"/>
      <c r="AL19" s="140"/>
      <c r="AM19" s="140"/>
      <c r="AN19" s="138"/>
    </row>
    <row r="20" spans="2:40" ht="15.75" customHeight="1" thickBot="1" x14ac:dyDescent="0.3">
      <c r="B20" s="139"/>
      <c r="C20" s="155"/>
      <c r="D20" s="155"/>
      <c r="E20" s="155"/>
      <c r="F20" s="155"/>
      <c r="G20" s="139"/>
      <c r="H20" s="140"/>
      <c r="I20" s="140"/>
      <c r="J20" s="140"/>
      <c r="K20" s="91"/>
      <c r="L20" s="139"/>
      <c r="M20" s="155"/>
      <c r="N20" s="155"/>
      <c r="O20" s="155"/>
      <c r="P20" s="155"/>
      <c r="Q20" s="139"/>
      <c r="R20" s="140"/>
      <c r="S20" s="140"/>
      <c r="T20" s="140"/>
      <c r="U20" s="91"/>
      <c r="AB20" s="65"/>
      <c r="AC20" s="65"/>
      <c r="AD20" s="65"/>
      <c r="AL20" s="65"/>
      <c r="AM20" s="65"/>
      <c r="AN20" s="65"/>
    </row>
    <row r="21" spans="2:40" ht="15.75" customHeight="1" thickBot="1" x14ac:dyDescent="0.3">
      <c r="B21" s="139" t="s">
        <v>73</v>
      </c>
      <c r="C21" s="149" t="str">
        <f ca="1">'Grupa A'!B10</f>
        <v>0 ()</v>
      </c>
      <c r="D21" s="150"/>
      <c r="E21" s="150"/>
      <c r="F21" s="151"/>
      <c r="G21" s="139">
        <f>SUM(H21:J22)</f>
        <v>0</v>
      </c>
      <c r="H21" s="140"/>
      <c r="I21" s="140"/>
      <c r="J21" s="140"/>
      <c r="K21" s="91"/>
      <c r="L21" s="139" t="s">
        <v>79</v>
      </c>
      <c r="M21" s="155" t="str">
        <f>IF(G25=G27," ",IF(G25&gt;G27,C25,C27))</f>
        <v xml:space="preserve"> </v>
      </c>
      <c r="N21" s="155"/>
      <c r="O21" s="155"/>
      <c r="P21" s="155"/>
      <c r="Q21" s="139">
        <f>SUM(R21:T22)</f>
        <v>0</v>
      </c>
      <c r="R21" s="140"/>
      <c r="S21" s="140"/>
      <c r="T21" s="140"/>
      <c r="U21" s="91"/>
      <c r="AB21" s="65"/>
      <c r="AC21" s="65"/>
      <c r="AD21" s="65"/>
      <c r="AL21" s="65"/>
      <c r="AM21" s="65"/>
      <c r="AN21" s="65"/>
    </row>
    <row r="22" spans="2:40" ht="15.75" customHeight="1" thickBot="1" x14ac:dyDescent="0.3">
      <c r="B22" s="139"/>
      <c r="C22" s="152"/>
      <c r="D22" s="153"/>
      <c r="E22" s="153"/>
      <c r="F22" s="154"/>
      <c r="G22" s="139"/>
      <c r="H22" s="140"/>
      <c r="I22" s="140"/>
      <c r="J22" s="140"/>
      <c r="K22" s="91"/>
      <c r="L22" s="139"/>
      <c r="M22" s="155"/>
      <c r="N22" s="155"/>
      <c r="O22" s="155"/>
      <c r="P22" s="155"/>
      <c r="Q22" s="139"/>
      <c r="R22" s="140"/>
      <c r="S22" s="140"/>
      <c r="T22" s="140"/>
      <c r="U22" s="91"/>
      <c r="AB22" s="65"/>
      <c r="AC22" s="65"/>
      <c r="AD22" s="65"/>
      <c r="AL22" s="65"/>
      <c r="AM22" s="65"/>
      <c r="AN22" s="65"/>
    </row>
    <row r="23" spans="2:40" ht="15.75" thickBot="1" x14ac:dyDescent="0.3">
      <c r="H23" s="65"/>
      <c r="I23" s="65"/>
      <c r="J23" s="65"/>
      <c r="R23" s="65"/>
      <c r="S23" s="65"/>
      <c r="T23" s="65"/>
      <c r="AB23" s="65"/>
      <c r="AC23" s="65"/>
      <c r="AD23" s="65"/>
      <c r="AL23" s="65"/>
      <c r="AM23" s="65"/>
      <c r="AN23" s="65"/>
    </row>
    <row r="24" spans="2:40" ht="15.75" thickBot="1" x14ac:dyDescent="0.3">
      <c r="B24" s="144" t="s">
        <v>65</v>
      </c>
      <c r="C24" s="145"/>
      <c r="D24" s="145"/>
      <c r="E24" s="145"/>
      <c r="F24" s="146"/>
      <c r="G24" s="78" t="s">
        <v>60</v>
      </c>
      <c r="H24" s="78" t="s">
        <v>84</v>
      </c>
      <c r="I24" s="78" t="s">
        <v>61</v>
      </c>
      <c r="J24" s="78" t="s">
        <v>62</v>
      </c>
      <c r="K24" s="87"/>
      <c r="R24" s="65"/>
      <c r="S24" s="65"/>
      <c r="T24" s="65"/>
      <c r="AB24" s="65"/>
      <c r="AC24" s="65"/>
      <c r="AD24" s="65"/>
      <c r="AL24" s="65"/>
      <c r="AM24" s="65"/>
      <c r="AN24" s="65"/>
    </row>
    <row r="25" spans="2:40" ht="15.75" customHeight="1" thickBot="1" x14ac:dyDescent="0.3">
      <c r="B25" s="139" t="s">
        <v>74</v>
      </c>
      <c r="C25" s="155" t="str">
        <f ca="1">'Grupa A'!B8</f>
        <v>0 ()</v>
      </c>
      <c r="D25" s="155"/>
      <c r="E25" s="155"/>
      <c r="F25" s="155"/>
      <c r="G25" s="139">
        <f>SUM(H25:J26)</f>
        <v>0</v>
      </c>
      <c r="H25" s="140"/>
      <c r="I25" s="140"/>
      <c r="J25" s="140"/>
      <c r="K25" s="91"/>
      <c r="R25" s="65"/>
      <c r="S25" s="65"/>
      <c r="T25" s="65"/>
      <c r="AB25" s="65"/>
      <c r="AC25" s="65"/>
      <c r="AD25" s="65"/>
      <c r="AL25" s="65"/>
      <c r="AM25" s="65"/>
      <c r="AN25" s="65"/>
    </row>
    <row r="26" spans="2:40" ht="15.75" customHeight="1" thickBot="1" x14ac:dyDescent="0.3">
      <c r="B26" s="139"/>
      <c r="C26" s="155"/>
      <c r="D26" s="155"/>
      <c r="E26" s="155"/>
      <c r="F26" s="155"/>
      <c r="G26" s="139"/>
      <c r="H26" s="140"/>
      <c r="I26" s="140"/>
      <c r="J26" s="140"/>
      <c r="K26" s="91"/>
      <c r="R26" s="65"/>
      <c r="S26" s="65"/>
      <c r="T26" s="65"/>
      <c r="AB26" s="65"/>
      <c r="AC26" s="65"/>
      <c r="AD26" s="65"/>
      <c r="AL26" s="65"/>
      <c r="AM26" s="65"/>
      <c r="AN26" s="65"/>
    </row>
    <row r="27" spans="2:40" ht="15.75" customHeight="1" thickBot="1" x14ac:dyDescent="0.3">
      <c r="B27" s="139" t="s">
        <v>75</v>
      </c>
      <c r="C27" s="155" t="str">
        <f ca="1">'Grupa B'!B9</f>
        <v>0 ()</v>
      </c>
      <c r="D27" s="155"/>
      <c r="E27" s="155"/>
      <c r="F27" s="155"/>
      <c r="G27" s="139">
        <f>SUM(H27:J28)</f>
        <v>0</v>
      </c>
      <c r="H27" s="140"/>
      <c r="I27" s="140"/>
      <c r="J27" s="140"/>
      <c r="K27" s="91"/>
      <c r="R27" s="65"/>
      <c r="S27" s="65"/>
      <c r="T27" s="65"/>
      <c r="AB27" s="65"/>
      <c r="AC27" s="65"/>
      <c r="AD27" s="65"/>
      <c r="AL27" s="65"/>
      <c r="AM27" s="65"/>
      <c r="AN27" s="65"/>
    </row>
    <row r="28" spans="2:40" ht="15.75" customHeight="1" thickBot="1" x14ac:dyDescent="0.3">
      <c r="B28" s="139"/>
      <c r="C28" s="155"/>
      <c r="D28" s="155"/>
      <c r="E28" s="155"/>
      <c r="F28" s="155"/>
      <c r="G28" s="139"/>
      <c r="H28" s="140"/>
      <c r="I28" s="140"/>
      <c r="J28" s="140"/>
      <c r="K28" s="91"/>
      <c r="R28" s="65"/>
      <c r="S28" s="65"/>
      <c r="T28" s="65"/>
      <c r="AB28" s="65"/>
      <c r="AC28" s="65"/>
      <c r="AD28" s="65"/>
      <c r="AL28" s="65"/>
      <c r="AM28" s="65"/>
      <c r="AN28" s="65"/>
    </row>
    <row r="29" spans="2:40" s="65" customFormat="1" x14ac:dyDescent="0.25"/>
    <row r="30" spans="2:40" s="65" customFormat="1" x14ac:dyDescent="0.25"/>
    <row r="31" spans="2:40" s="65" customFormat="1" x14ac:dyDescent="0.25"/>
    <row r="32" spans="2:40" s="65" customFormat="1" x14ac:dyDescent="0.25"/>
    <row r="33" spans="2:40" s="65" customFormat="1" ht="15.75" thickBot="1" x14ac:dyDescent="0.3"/>
    <row r="34" spans="2:40" s="65" customFormat="1" ht="15.75" thickBot="1" x14ac:dyDescent="0.3">
      <c r="B34" s="144"/>
      <c r="C34" s="145"/>
      <c r="D34" s="145"/>
      <c r="E34" s="145"/>
      <c r="F34" s="146"/>
      <c r="G34" s="78" t="s">
        <v>60</v>
      </c>
      <c r="H34" s="78" t="s">
        <v>84</v>
      </c>
      <c r="I34" s="78" t="s">
        <v>61</v>
      </c>
      <c r="J34" s="78" t="s">
        <v>62</v>
      </c>
      <c r="L34" s="144" t="s">
        <v>90</v>
      </c>
      <c r="M34" s="145"/>
      <c r="N34" s="145"/>
      <c r="O34" s="145"/>
      <c r="P34" s="146"/>
      <c r="Q34" s="78" t="s">
        <v>60</v>
      </c>
      <c r="R34" s="78" t="s">
        <v>84</v>
      </c>
      <c r="S34" s="78" t="s">
        <v>61</v>
      </c>
      <c r="T34" s="78" t="s">
        <v>62</v>
      </c>
      <c r="V34" s="141"/>
      <c r="W34" s="142"/>
      <c r="X34" s="142"/>
      <c r="Y34" s="142"/>
      <c r="Z34" s="143"/>
      <c r="AA34" s="78" t="s">
        <v>60</v>
      </c>
      <c r="AB34" s="78" t="s">
        <v>84</v>
      </c>
      <c r="AC34" s="78" t="s">
        <v>61</v>
      </c>
      <c r="AD34" s="78" t="s">
        <v>62</v>
      </c>
      <c r="AF34" s="141"/>
      <c r="AG34" s="142"/>
      <c r="AH34" s="142"/>
      <c r="AI34" s="142"/>
      <c r="AJ34" s="143"/>
      <c r="AK34" s="78" t="s">
        <v>60</v>
      </c>
      <c r="AL34" s="78" t="s">
        <v>84</v>
      </c>
      <c r="AM34" s="78" t="s">
        <v>61</v>
      </c>
      <c r="AN34" s="78" t="s">
        <v>62</v>
      </c>
    </row>
    <row r="35" spans="2:40" s="65" customFormat="1" ht="15.75" customHeight="1" thickBot="1" x14ac:dyDescent="0.3">
      <c r="B35" s="139" t="s">
        <v>99</v>
      </c>
      <c r="C35" s="149" t="str">
        <f ca="1">'Grupa A'!B11</f>
        <v>0 ()</v>
      </c>
      <c r="D35" s="150"/>
      <c r="E35" s="150"/>
      <c r="F35" s="151"/>
      <c r="G35" s="139">
        <f>SUM(H35:J36)</f>
        <v>0</v>
      </c>
      <c r="H35" s="140"/>
      <c r="I35" s="140"/>
      <c r="J35" s="140"/>
      <c r="L35" s="139" t="s">
        <v>85</v>
      </c>
      <c r="M35" s="155" t="str">
        <f>IF(G7=G9," ",IF(G7&lt;G9,C7,C9))</f>
        <v xml:space="preserve"> </v>
      </c>
      <c r="N35" s="155"/>
      <c r="O35" s="155"/>
      <c r="P35" s="155"/>
      <c r="Q35" s="139">
        <f>SUM(R35:T36)</f>
        <v>0</v>
      </c>
      <c r="R35" s="140"/>
      <c r="S35" s="140"/>
      <c r="T35" s="140"/>
      <c r="V35" s="139" t="s">
        <v>102</v>
      </c>
      <c r="W35" s="155" t="str">
        <f>IF(Q35=Q37," ",IF(Q35&lt;Q37,M35,M37))</f>
        <v xml:space="preserve"> </v>
      </c>
      <c r="X35" s="155"/>
      <c r="Y35" s="155"/>
      <c r="Z35" s="155"/>
      <c r="AA35" s="139">
        <f>SUM(AB35:AD36)</f>
        <v>0</v>
      </c>
      <c r="AB35" s="140"/>
      <c r="AC35" s="140"/>
      <c r="AD35" s="140"/>
      <c r="AF35" s="139" t="s">
        <v>104</v>
      </c>
      <c r="AG35" s="155" t="str">
        <f>IF(Q35=Q37," ",IF(Q35&gt;Q37,M35,M37))</f>
        <v xml:space="preserve"> </v>
      </c>
      <c r="AH35" s="155"/>
      <c r="AI35" s="155"/>
      <c r="AJ35" s="155"/>
      <c r="AK35" s="139">
        <f>SUM(AL35:AN36)</f>
        <v>0</v>
      </c>
      <c r="AL35" s="140"/>
      <c r="AM35" s="140"/>
      <c r="AN35" s="140"/>
    </row>
    <row r="36" spans="2:40" s="65" customFormat="1" ht="15.75" customHeight="1" thickBot="1" x14ac:dyDescent="0.3">
      <c r="B36" s="139"/>
      <c r="C36" s="152"/>
      <c r="D36" s="153"/>
      <c r="E36" s="153"/>
      <c r="F36" s="154"/>
      <c r="G36" s="139"/>
      <c r="H36" s="140"/>
      <c r="I36" s="140"/>
      <c r="J36" s="140"/>
      <c r="L36" s="139"/>
      <c r="M36" s="155"/>
      <c r="N36" s="155"/>
      <c r="O36" s="155"/>
      <c r="P36" s="155"/>
      <c r="Q36" s="139"/>
      <c r="R36" s="140"/>
      <c r="S36" s="140"/>
      <c r="T36" s="140"/>
      <c r="V36" s="139"/>
      <c r="W36" s="155"/>
      <c r="X36" s="155"/>
      <c r="Y36" s="155"/>
      <c r="Z36" s="155"/>
      <c r="AA36" s="139"/>
      <c r="AB36" s="140"/>
      <c r="AC36" s="140"/>
      <c r="AD36" s="140"/>
      <c r="AF36" s="139"/>
      <c r="AG36" s="155"/>
      <c r="AH36" s="155"/>
      <c r="AI36" s="155"/>
      <c r="AJ36" s="155"/>
      <c r="AK36" s="139"/>
      <c r="AL36" s="140"/>
      <c r="AM36" s="140"/>
      <c r="AN36" s="140"/>
    </row>
    <row r="37" spans="2:40" s="65" customFormat="1" ht="15.75" customHeight="1" thickBot="1" x14ac:dyDescent="0.3">
      <c r="B37" s="139" t="s">
        <v>100</v>
      </c>
      <c r="C37" s="155" t="str">
        <f ca="1">'Grupa B'!B11</f>
        <v>0 ()</v>
      </c>
      <c r="D37" s="155"/>
      <c r="E37" s="155"/>
      <c r="F37" s="155"/>
      <c r="G37" s="139">
        <f>SUM(H37:J38)</f>
        <v>0</v>
      </c>
      <c r="H37" s="140"/>
      <c r="I37" s="140"/>
      <c r="J37" s="140"/>
      <c r="L37" s="139" t="s">
        <v>86</v>
      </c>
      <c r="M37" s="155" t="str">
        <f>IF(G13=G15," ",IF(G13&lt;G15,C13,C15))</f>
        <v xml:space="preserve"> </v>
      </c>
      <c r="N37" s="155"/>
      <c r="O37" s="155"/>
      <c r="P37" s="155"/>
      <c r="Q37" s="139">
        <f>SUM(R37:T38)</f>
        <v>0</v>
      </c>
      <c r="R37" s="140"/>
      <c r="S37" s="140"/>
      <c r="T37" s="140"/>
      <c r="V37" s="139" t="s">
        <v>103</v>
      </c>
      <c r="W37" s="155" t="str">
        <f>IF(Q41=Q43," ",IF(Q41&lt;Q43,M41,M43))</f>
        <v xml:space="preserve"> </v>
      </c>
      <c r="X37" s="155"/>
      <c r="Y37" s="155"/>
      <c r="Z37" s="155"/>
      <c r="AA37" s="139">
        <f>SUM(AB37:AD38)</f>
        <v>0</v>
      </c>
      <c r="AB37" s="140"/>
      <c r="AC37" s="140"/>
      <c r="AD37" s="140"/>
      <c r="AF37" s="139" t="s">
        <v>105</v>
      </c>
      <c r="AG37" s="155" t="str">
        <f>IF(Q41=Q43," ",IF(Q41&gt;Q43,M41,M43))</f>
        <v xml:space="preserve"> </v>
      </c>
      <c r="AH37" s="155"/>
      <c r="AI37" s="155"/>
      <c r="AJ37" s="155"/>
      <c r="AK37" s="139">
        <f>SUM(AL37:AN38)</f>
        <v>0</v>
      </c>
      <c r="AL37" s="140"/>
      <c r="AM37" s="140"/>
      <c r="AN37" s="140"/>
    </row>
    <row r="38" spans="2:40" s="65" customFormat="1" ht="15.75" customHeight="1" thickBot="1" x14ac:dyDescent="0.3">
      <c r="B38" s="139"/>
      <c r="C38" s="155"/>
      <c r="D38" s="155"/>
      <c r="E38" s="155"/>
      <c r="F38" s="155"/>
      <c r="G38" s="139"/>
      <c r="H38" s="140"/>
      <c r="I38" s="140"/>
      <c r="J38" s="140"/>
      <c r="L38" s="139"/>
      <c r="M38" s="155"/>
      <c r="N38" s="155"/>
      <c r="O38" s="155"/>
      <c r="P38" s="155"/>
      <c r="Q38" s="139"/>
      <c r="R38" s="140"/>
      <c r="S38" s="140"/>
      <c r="T38" s="140"/>
      <c r="V38" s="139"/>
      <c r="W38" s="155"/>
      <c r="X38" s="155"/>
      <c r="Y38" s="155"/>
      <c r="Z38" s="155"/>
      <c r="AA38" s="139"/>
      <c r="AB38" s="140"/>
      <c r="AC38" s="140"/>
      <c r="AD38" s="140"/>
      <c r="AF38" s="139"/>
      <c r="AG38" s="155"/>
      <c r="AH38" s="155"/>
      <c r="AI38" s="155"/>
      <c r="AJ38" s="155"/>
      <c r="AK38" s="139"/>
      <c r="AL38" s="140"/>
      <c r="AM38" s="140"/>
      <c r="AN38" s="140"/>
    </row>
    <row r="39" spans="2:40" s="65" customFormat="1" ht="15.75" thickBot="1" x14ac:dyDescent="0.3"/>
    <row r="40" spans="2:40" s="65" customFormat="1" ht="15.75" customHeight="1" thickBot="1" x14ac:dyDescent="0.3">
      <c r="B40" s="125" t="s">
        <v>90</v>
      </c>
      <c r="C40" s="148" t="str">
        <f>IF(AK16&gt;AK18,AG16,AG18)</f>
        <v xml:space="preserve"> </v>
      </c>
      <c r="D40" s="148"/>
      <c r="E40" s="148"/>
      <c r="F40" s="148"/>
      <c r="G40" s="125">
        <v>10</v>
      </c>
      <c r="L40" s="144" t="s">
        <v>101</v>
      </c>
      <c r="M40" s="145"/>
      <c r="N40" s="145"/>
      <c r="O40" s="145"/>
      <c r="P40" s="146"/>
      <c r="Q40" s="78" t="s">
        <v>60</v>
      </c>
      <c r="R40" s="78" t="s">
        <v>84</v>
      </c>
      <c r="S40" s="78" t="s">
        <v>61</v>
      </c>
      <c r="T40" s="78" t="s">
        <v>62</v>
      </c>
    </row>
    <row r="41" spans="2:40" s="65" customFormat="1" ht="15.75" customHeight="1" thickBot="1" x14ac:dyDescent="0.3">
      <c r="B41" s="126" t="s">
        <v>91</v>
      </c>
      <c r="C41" s="147" t="str">
        <f>IF(AK16&lt;AK18,AG16,AG18)</f>
        <v xml:space="preserve"> </v>
      </c>
      <c r="D41" s="147"/>
      <c r="E41" s="147"/>
      <c r="F41" s="147"/>
      <c r="G41" s="126">
        <v>9</v>
      </c>
      <c r="L41" s="139" t="s">
        <v>87</v>
      </c>
      <c r="M41" s="155" t="str">
        <f>IF(G19=G21," ",IF(G19&lt;G21,C19,C21))</f>
        <v xml:space="preserve"> </v>
      </c>
      <c r="N41" s="155"/>
      <c r="O41" s="155"/>
      <c r="P41" s="155"/>
      <c r="Q41" s="139">
        <f>SUM(R41:T42)</f>
        <v>0</v>
      </c>
      <c r="R41" s="140"/>
      <c r="S41" s="140"/>
      <c r="T41" s="140"/>
    </row>
    <row r="42" spans="2:40" s="65" customFormat="1" ht="15.75" customHeight="1" thickBot="1" x14ac:dyDescent="0.3">
      <c r="B42" s="126" t="s">
        <v>92</v>
      </c>
      <c r="C42" s="147" t="str">
        <f>IF(AA16&gt;AA18,W16,W18)</f>
        <v xml:space="preserve"> </v>
      </c>
      <c r="D42" s="147"/>
      <c r="E42" s="147"/>
      <c r="F42" s="147"/>
      <c r="G42" s="126">
        <v>8</v>
      </c>
      <c r="L42" s="139"/>
      <c r="M42" s="155"/>
      <c r="N42" s="155"/>
      <c r="O42" s="155"/>
      <c r="P42" s="155"/>
      <c r="Q42" s="139"/>
      <c r="R42" s="140"/>
      <c r="S42" s="140"/>
      <c r="T42" s="140"/>
    </row>
    <row r="43" spans="2:40" s="65" customFormat="1" ht="15.75" customHeight="1" thickBot="1" x14ac:dyDescent="0.3">
      <c r="B43" s="126" t="s">
        <v>93</v>
      </c>
      <c r="C43" s="147" t="str">
        <f>IF(AA16&lt;AA18,W16,W18)</f>
        <v xml:space="preserve"> </v>
      </c>
      <c r="D43" s="147"/>
      <c r="E43" s="147"/>
      <c r="F43" s="147"/>
      <c r="G43" s="126">
        <v>7</v>
      </c>
      <c r="L43" s="139" t="s">
        <v>88</v>
      </c>
      <c r="M43" s="155" t="str">
        <f>IF(G25=G27," ",IF(G25&lt;G27,C25,C27))</f>
        <v xml:space="preserve"> </v>
      </c>
      <c r="N43" s="155"/>
      <c r="O43" s="155"/>
      <c r="P43" s="155"/>
      <c r="Q43" s="139">
        <f>SUM(R43:T44)</f>
        <v>0</v>
      </c>
      <c r="R43" s="140"/>
      <c r="S43" s="140"/>
      <c r="T43" s="140"/>
    </row>
    <row r="44" spans="2:40" s="65" customFormat="1" ht="15.75" thickBot="1" x14ac:dyDescent="0.3">
      <c r="B44" s="126" t="s">
        <v>94</v>
      </c>
      <c r="C44" s="147" t="str">
        <f>IF(AK35&gt;AK37,AG35,AG37)</f>
        <v xml:space="preserve"> </v>
      </c>
      <c r="D44" s="147"/>
      <c r="E44" s="147"/>
      <c r="F44" s="147"/>
      <c r="G44" s="126">
        <v>6</v>
      </c>
      <c r="L44" s="139"/>
      <c r="M44" s="155"/>
      <c r="N44" s="155"/>
      <c r="O44" s="155"/>
      <c r="P44" s="155"/>
      <c r="Q44" s="139"/>
      <c r="R44" s="140"/>
      <c r="S44" s="140"/>
      <c r="T44" s="140"/>
    </row>
    <row r="45" spans="2:40" s="65" customFormat="1" x14ac:dyDescent="0.25">
      <c r="B45" s="126" t="s">
        <v>95</v>
      </c>
      <c r="C45" s="147" t="str">
        <f>IF(AK35&lt;AK37,AG35,AG37)</f>
        <v xml:space="preserve"> </v>
      </c>
      <c r="D45" s="147"/>
      <c r="E45" s="147"/>
      <c r="F45" s="147"/>
      <c r="G45" s="126">
        <v>5</v>
      </c>
    </row>
    <row r="46" spans="2:40" s="65" customFormat="1" x14ac:dyDescent="0.25">
      <c r="B46" s="126" t="s">
        <v>96</v>
      </c>
      <c r="C46" s="147" t="str">
        <f>IF(AA35&gt;AA37,W35,W37)</f>
        <v xml:space="preserve"> </v>
      </c>
      <c r="D46" s="147"/>
      <c r="E46" s="147"/>
      <c r="F46" s="147"/>
      <c r="G46" s="126">
        <v>4</v>
      </c>
    </row>
    <row r="47" spans="2:40" s="65" customFormat="1" x14ac:dyDescent="0.25">
      <c r="B47" s="126" t="s">
        <v>97</v>
      </c>
      <c r="C47" s="147" t="str">
        <f>IF(AA35&lt;AA37,W35,W37)</f>
        <v xml:space="preserve"> </v>
      </c>
      <c r="D47" s="147"/>
      <c r="E47" s="147"/>
      <c r="F47" s="147"/>
      <c r="G47" s="126">
        <v>3</v>
      </c>
    </row>
    <row r="48" spans="2:40" s="65" customFormat="1" x14ac:dyDescent="0.25">
      <c r="B48" s="126" t="s">
        <v>98</v>
      </c>
      <c r="C48" s="147" t="str">
        <f ca="1">IF(G35&gt;G37,C35,C37)</f>
        <v>0 ()</v>
      </c>
      <c r="D48" s="147"/>
      <c r="E48" s="147"/>
      <c r="F48" s="147"/>
      <c r="G48" s="126">
        <v>2</v>
      </c>
    </row>
    <row r="49" spans="2:7" s="65" customFormat="1" x14ac:dyDescent="0.25">
      <c r="B49" s="126" t="s">
        <v>106</v>
      </c>
      <c r="C49" s="147" t="str">
        <f ca="1">IF(G35&lt;G37,C35,C37)</f>
        <v>0 ()</v>
      </c>
      <c r="D49" s="147"/>
      <c r="E49" s="147"/>
      <c r="F49" s="147"/>
      <c r="G49" s="126">
        <v>1</v>
      </c>
    </row>
    <row r="50" spans="2:7" s="65" customFormat="1" x14ac:dyDescent="0.25"/>
    <row r="51" spans="2:7" s="65" customFormat="1" x14ac:dyDescent="0.25"/>
    <row r="52" spans="2:7" s="65" customFormat="1" x14ac:dyDescent="0.25"/>
    <row r="53" spans="2:7" s="65" customFormat="1" x14ac:dyDescent="0.25"/>
    <row r="54" spans="2:7" s="65" customFormat="1" x14ac:dyDescent="0.25"/>
    <row r="55" spans="2:7" s="65" customFormat="1" x14ac:dyDescent="0.25"/>
    <row r="56" spans="2:7" s="65" customFormat="1" x14ac:dyDescent="0.25"/>
    <row r="57" spans="2:7" s="65" customFormat="1" x14ac:dyDescent="0.25"/>
    <row r="58" spans="2:7" s="65" customFormat="1" x14ac:dyDescent="0.25"/>
    <row r="59" spans="2:7" s="65" customFormat="1" x14ac:dyDescent="0.25"/>
    <row r="60" spans="2:7" s="65" customFormat="1" x14ac:dyDescent="0.25"/>
    <row r="61" spans="2:7" s="65" customFormat="1" x14ac:dyDescent="0.25"/>
    <row r="62" spans="2:7" s="65" customFormat="1" x14ac:dyDescent="0.25"/>
    <row r="63" spans="2:7" s="65" customFormat="1" x14ac:dyDescent="0.25"/>
    <row r="64" spans="2:7" s="65" customFormat="1" x14ac:dyDescent="0.25"/>
    <row r="65" s="65" customFormat="1" x14ac:dyDescent="0.25"/>
    <row r="66" s="65" customFormat="1" x14ac:dyDescent="0.25"/>
    <row r="67" s="65" customFormat="1" x14ac:dyDescent="0.25"/>
    <row r="68" s="65" customFormat="1" x14ac:dyDescent="0.25"/>
    <row r="69" s="65" customFormat="1" x14ac:dyDescent="0.25"/>
    <row r="70" s="65" customFormat="1" x14ac:dyDescent="0.25"/>
    <row r="71" s="65" customFormat="1" x14ac:dyDescent="0.25"/>
    <row r="72" s="65" customFormat="1" x14ac:dyDescent="0.25"/>
    <row r="73" s="65" customFormat="1" x14ac:dyDescent="0.25"/>
    <row r="74" s="65" customFormat="1" x14ac:dyDescent="0.25"/>
    <row r="75" s="65" customFormat="1" x14ac:dyDescent="0.25"/>
    <row r="76" s="65" customFormat="1" x14ac:dyDescent="0.25"/>
    <row r="77" s="65" customFormat="1" x14ac:dyDescent="0.25"/>
    <row r="78" s="65" customFormat="1" x14ac:dyDescent="0.25"/>
    <row r="79" s="65" customFormat="1" x14ac:dyDescent="0.25"/>
    <row r="80" s="65" customFormat="1" x14ac:dyDescent="0.25"/>
    <row r="81" s="65" customFormat="1" x14ac:dyDescent="0.25"/>
    <row r="82" s="65" customFormat="1" x14ac:dyDescent="0.25"/>
    <row r="83" s="65" customFormat="1" x14ac:dyDescent="0.25"/>
    <row r="84" s="65" customFormat="1" x14ac:dyDescent="0.25"/>
    <row r="85" s="65" customFormat="1" x14ac:dyDescent="0.25"/>
    <row r="86" s="65" customFormat="1" x14ac:dyDescent="0.25"/>
    <row r="87" s="65" customFormat="1" x14ac:dyDescent="0.25"/>
    <row r="88" s="65" customFormat="1" x14ac:dyDescent="0.25"/>
    <row r="89" s="65" customFormat="1" x14ac:dyDescent="0.25"/>
    <row r="90" s="65" customFormat="1" x14ac:dyDescent="0.25"/>
    <row r="91" s="65" customFormat="1" x14ac:dyDescent="0.25"/>
    <row r="92" s="65" customFormat="1" x14ac:dyDescent="0.25"/>
    <row r="93" s="65" customFormat="1" x14ac:dyDescent="0.25"/>
    <row r="94" s="65" customFormat="1" x14ac:dyDescent="0.25"/>
    <row r="95" s="65" customFormat="1" x14ac:dyDescent="0.25"/>
    <row r="96" s="65" customFormat="1" x14ac:dyDescent="0.25"/>
    <row r="97" s="65" customFormat="1" x14ac:dyDescent="0.25"/>
    <row r="98" s="65" customFormat="1" x14ac:dyDescent="0.25"/>
    <row r="99" s="65" customFormat="1" x14ac:dyDescent="0.25"/>
    <row r="100" s="65" customFormat="1" x14ac:dyDescent="0.25"/>
    <row r="101" s="65" customFormat="1" x14ac:dyDescent="0.25"/>
    <row r="102" s="65" customFormat="1" x14ac:dyDescent="0.25"/>
    <row r="103" s="65" customFormat="1" x14ac:dyDescent="0.25"/>
    <row r="104" s="65" customFormat="1" x14ac:dyDescent="0.25"/>
    <row r="105" s="65" customFormat="1" x14ac:dyDescent="0.25"/>
    <row r="106" s="65" customFormat="1" x14ac:dyDescent="0.25"/>
    <row r="107" s="65" customFormat="1" x14ac:dyDescent="0.25"/>
    <row r="108" s="65" customFormat="1" x14ac:dyDescent="0.25"/>
    <row r="109" s="65" customFormat="1" x14ac:dyDescent="0.25"/>
    <row r="110" s="65" customFormat="1" x14ac:dyDescent="0.25"/>
    <row r="111" s="65" customFormat="1" x14ac:dyDescent="0.25"/>
    <row r="112" s="65" customFormat="1" x14ac:dyDescent="0.25"/>
    <row r="113" s="65" customFormat="1" x14ac:dyDescent="0.25"/>
    <row r="114" s="65" customFormat="1" x14ac:dyDescent="0.25"/>
    <row r="115" s="65" customFormat="1" x14ac:dyDescent="0.25"/>
    <row r="116" s="65" customFormat="1" x14ac:dyDescent="0.25"/>
    <row r="117" s="65" customFormat="1" x14ac:dyDescent="0.25"/>
    <row r="118" s="65" customFormat="1" x14ac:dyDescent="0.25"/>
    <row r="119" s="65" customFormat="1" x14ac:dyDescent="0.25"/>
    <row r="120" s="65" customFormat="1" x14ac:dyDescent="0.25"/>
    <row r="121" s="65" customFormat="1" x14ac:dyDescent="0.25"/>
    <row r="122" s="65" customFormat="1" x14ac:dyDescent="0.25"/>
    <row r="123" s="65" customFormat="1" x14ac:dyDescent="0.25"/>
    <row r="124" s="65" customFormat="1" x14ac:dyDescent="0.25"/>
    <row r="125" s="65" customFormat="1" x14ac:dyDescent="0.25"/>
    <row r="126" s="65" customFormat="1" x14ac:dyDescent="0.25"/>
    <row r="127" s="65" customFormat="1" x14ac:dyDescent="0.25"/>
    <row r="128" s="65" customFormat="1" x14ac:dyDescent="0.25"/>
    <row r="129" s="65" customFormat="1" x14ac:dyDescent="0.25"/>
    <row r="130" s="65" customFormat="1" x14ac:dyDescent="0.25"/>
    <row r="131" s="65" customFormat="1" x14ac:dyDescent="0.25"/>
    <row r="132" s="65" customFormat="1" x14ac:dyDescent="0.25"/>
    <row r="133" s="65" customFormat="1" x14ac:dyDescent="0.25"/>
    <row r="134" s="65" customFormat="1" x14ac:dyDescent="0.25"/>
    <row r="135" s="65" customFormat="1" x14ac:dyDescent="0.25"/>
    <row r="136" s="65" customFormat="1" x14ac:dyDescent="0.25"/>
    <row r="137" s="65" customFormat="1" x14ac:dyDescent="0.25"/>
    <row r="138" s="65" customFormat="1" x14ac:dyDescent="0.25"/>
    <row r="139" s="65" customFormat="1" x14ac:dyDescent="0.25"/>
    <row r="140" s="65" customFormat="1" x14ac:dyDescent="0.25"/>
    <row r="141" s="65" customFormat="1" x14ac:dyDescent="0.25"/>
    <row r="142" s="65" customFormat="1" x14ac:dyDescent="0.25"/>
    <row r="143" s="65" customFormat="1" x14ac:dyDescent="0.25"/>
    <row r="144" s="65" customFormat="1" x14ac:dyDescent="0.25"/>
    <row r="145" s="65" customFormat="1" x14ac:dyDescent="0.25"/>
    <row r="146" s="65" customFormat="1" x14ac:dyDescent="0.25"/>
    <row r="147" s="65" customFormat="1" x14ac:dyDescent="0.25"/>
  </sheetData>
  <sheetProtection password="E163" sheet="1" objects="1" scenarios="1"/>
  <mergeCells count="179">
    <mergeCell ref="J7:J8"/>
    <mergeCell ref="B9:B10"/>
    <mergeCell ref="C9:F10"/>
    <mergeCell ref="G9:G10"/>
    <mergeCell ref="H9:H10"/>
    <mergeCell ref="I9:I10"/>
    <mergeCell ref="J9:J10"/>
    <mergeCell ref="B6:F6"/>
    <mergeCell ref="B7:B8"/>
    <mergeCell ref="C7:F8"/>
    <mergeCell ref="G7:G8"/>
    <mergeCell ref="H7:H8"/>
    <mergeCell ref="I7:I8"/>
    <mergeCell ref="B12:F12"/>
    <mergeCell ref="L12:P12"/>
    <mergeCell ref="B13:B14"/>
    <mergeCell ref="C13:F14"/>
    <mergeCell ref="G13:G14"/>
    <mergeCell ref="H13:H14"/>
    <mergeCell ref="I13:I14"/>
    <mergeCell ref="J13:J14"/>
    <mergeCell ref="L13:L14"/>
    <mergeCell ref="M13:P14"/>
    <mergeCell ref="AF16:AF17"/>
    <mergeCell ref="AG16:AJ17"/>
    <mergeCell ref="Q13:Q14"/>
    <mergeCell ref="R13:R14"/>
    <mergeCell ref="S13:S14"/>
    <mergeCell ref="T13:T14"/>
    <mergeCell ref="B15:B16"/>
    <mergeCell ref="C15:F16"/>
    <mergeCell ref="G15:G16"/>
    <mergeCell ref="H15:H16"/>
    <mergeCell ref="I15:I16"/>
    <mergeCell ref="J15:J16"/>
    <mergeCell ref="AK16:AK17"/>
    <mergeCell ref="AL16:AL17"/>
    <mergeCell ref="AM16:AM17"/>
    <mergeCell ref="AN16:AN17"/>
    <mergeCell ref="B18:F18"/>
    <mergeCell ref="L18:P18"/>
    <mergeCell ref="V18:V19"/>
    <mergeCell ref="W18:Z19"/>
    <mergeCell ref="AA18:AA19"/>
    <mergeCell ref="AB18:AB19"/>
    <mergeCell ref="L15:L16"/>
    <mergeCell ref="M15:P16"/>
    <mergeCell ref="Q15:Q16"/>
    <mergeCell ref="R15:R16"/>
    <mergeCell ref="S15:S16"/>
    <mergeCell ref="T15:T16"/>
    <mergeCell ref="V15:Z15"/>
    <mergeCell ref="AF15:AJ15"/>
    <mergeCell ref="V16:V17"/>
    <mergeCell ref="W16:Z17"/>
    <mergeCell ref="AA16:AA17"/>
    <mergeCell ref="AB16:AB17"/>
    <mergeCell ref="AC16:AC17"/>
    <mergeCell ref="AD16:AD17"/>
    <mergeCell ref="B21:B22"/>
    <mergeCell ref="C21:F22"/>
    <mergeCell ref="G21:G22"/>
    <mergeCell ref="H21:H22"/>
    <mergeCell ref="I21:I22"/>
    <mergeCell ref="J21:J22"/>
    <mergeCell ref="AM18:AM19"/>
    <mergeCell ref="AN18:AN19"/>
    <mergeCell ref="B19:B20"/>
    <mergeCell ref="C19:F20"/>
    <mergeCell ref="G19:G20"/>
    <mergeCell ref="H19:H20"/>
    <mergeCell ref="I19:I20"/>
    <mergeCell ref="J19:J20"/>
    <mergeCell ref="L19:L20"/>
    <mergeCell ref="M19:P20"/>
    <mergeCell ref="AC18:AC19"/>
    <mergeCell ref="AD18:AD19"/>
    <mergeCell ref="AF18:AF19"/>
    <mergeCell ref="AG18:AJ19"/>
    <mergeCell ref="AK18:AK19"/>
    <mergeCell ref="AL18:AL19"/>
    <mergeCell ref="L21:L22"/>
    <mergeCell ref="M21:P22"/>
    <mergeCell ref="Q21:Q22"/>
    <mergeCell ref="R21:R22"/>
    <mergeCell ref="S21:S22"/>
    <mergeCell ref="T21:T22"/>
    <mergeCell ref="Q19:Q20"/>
    <mergeCell ref="R19:R20"/>
    <mergeCell ref="S19:S20"/>
    <mergeCell ref="T19:T20"/>
    <mergeCell ref="J25:J26"/>
    <mergeCell ref="B27:B28"/>
    <mergeCell ref="C27:F28"/>
    <mergeCell ref="G27:G28"/>
    <mergeCell ref="H27:H28"/>
    <mergeCell ref="I27:I28"/>
    <mergeCell ref="J27:J28"/>
    <mergeCell ref="B24:F24"/>
    <mergeCell ref="B25:B26"/>
    <mergeCell ref="C25:F26"/>
    <mergeCell ref="G25:G26"/>
    <mergeCell ref="H25:H26"/>
    <mergeCell ref="I25:I26"/>
    <mergeCell ref="B34:F34"/>
    <mergeCell ref="B35:B36"/>
    <mergeCell ref="C35:F36"/>
    <mergeCell ref="G35:G36"/>
    <mergeCell ref="H35:H36"/>
    <mergeCell ref="I35:I36"/>
    <mergeCell ref="J35:J36"/>
    <mergeCell ref="B37:B38"/>
    <mergeCell ref="C37:F38"/>
    <mergeCell ref="G37:G38"/>
    <mergeCell ref="H37:H38"/>
    <mergeCell ref="I37:I38"/>
    <mergeCell ref="J37:J38"/>
    <mergeCell ref="L34:P34"/>
    <mergeCell ref="L35:L36"/>
    <mergeCell ref="M35:P36"/>
    <mergeCell ref="Q35:Q36"/>
    <mergeCell ref="R35:R36"/>
    <mergeCell ref="S35:S36"/>
    <mergeCell ref="T35:T36"/>
    <mergeCell ref="L37:L38"/>
    <mergeCell ref="M37:P38"/>
    <mergeCell ref="Q37:Q38"/>
    <mergeCell ref="R37:R38"/>
    <mergeCell ref="S37:S38"/>
    <mergeCell ref="T37:T38"/>
    <mergeCell ref="L40:P40"/>
    <mergeCell ref="L41:L42"/>
    <mergeCell ref="M41:P42"/>
    <mergeCell ref="Q41:Q42"/>
    <mergeCell ref="R41:R42"/>
    <mergeCell ref="S41:S42"/>
    <mergeCell ref="T41:T42"/>
    <mergeCell ref="L43:L44"/>
    <mergeCell ref="M43:P44"/>
    <mergeCell ref="Q43:Q44"/>
    <mergeCell ref="R43:R44"/>
    <mergeCell ref="S43:S44"/>
    <mergeCell ref="T43:T44"/>
    <mergeCell ref="V34:Z34"/>
    <mergeCell ref="V35:V36"/>
    <mergeCell ref="W35:Z36"/>
    <mergeCell ref="AA35:AA36"/>
    <mergeCell ref="AB35:AB36"/>
    <mergeCell ref="AC35:AC36"/>
    <mergeCell ref="AD35:AD36"/>
    <mergeCell ref="V37:V38"/>
    <mergeCell ref="W37:Z38"/>
    <mergeCell ref="AA37:AA38"/>
    <mergeCell ref="AB37:AB38"/>
    <mergeCell ref="AC37:AC38"/>
    <mergeCell ref="AD37:AD38"/>
    <mergeCell ref="AF34:AJ34"/>
    <mergeCell ref="AF35:AF36"/>
    <mergeCell ref="AG35:AJ36"/>
    <mergeCell ref="AK35:AK36"/>
    <mergeCell ref="AL35:AL36"/>
    <mergeCell ref="AM35:AM36"/>
    <mergeCell ref="AN35:AN36"/>
    <mergeCell ref="AF37:AF38"/>
    <mergeCell ref="AG37:AJ38"/>
    <mergeCell ref="AK37:AK38"/>
    <mergeCell ref="AL37:AL38"/>
    <mergeCell ref="AM37:AM38"/>
    <mergeCell ref="AN37:AN38"/>
    <mergeCell ref="C49:F49"/>
    <mergeCell ref="C40:F40"/>
    <mergeCell ref="C41:F41"/>
    <mergeCell ref="C42:F42"/>
    <mergeCell ref="C43:F43"/>
    <mergeCell ref="C44:F44"/>
    <mergeCell ref="C45:F45"/>
    <mergeCell ref="C46:F46"/>
    <mergeCell ref="C47:F47"/>
    <mergeCell ref="C48:F48"/>
  </mergeCells>
  <pageMargins left="0.7" right="0.7" top="0.75" bottom="0.75" header="0.3" footer="0.3"/>
  <pageSetup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DK71"/>
  <sheetViews>
    <sheetView showGridLines="0" workbookViewId="0">
      <selection activeCell="N24" sqref="N24"/>
    </sheetView>
  </sheetViews>
  <sheetFormatPr defaultRowHeight="15" x14ac:dyDescent="0.25"/>
  <cols>
    <col min="1" max="1" width="5.85546875" style="65" customWidth="1"/>
    <col min="2" max="7" width="6.7109375" style="65" customWidth="1"/>
    <col min="8" max="10" width="6.7109375" style="51" customWidth="1"/>
    <col min="11" max="11" width="5.28515625" style="65" customWidth="1"/>
    <col min="12" max="17" width="6.7109375" style="65" customWidth="1"/>
    <col min="18" max="20" width="6.7109375" style="51" customWidth="1"/>
    <col min="21" max="21" width="4.5703125" style="65" customWidth="1"/>
    <col min="22" max="27" width="6.7109375" style="65" customWidth="1"/>
    <col min="28" max="30" width="6.7109375" style="51" customWidth="1"/>
    <col min="31" max="31" width="4" style="65" customWidth="1"/>
    <col min="32" max="37" width="6.7109375" style="65" customWidth="1"/>
    <col min="38" max="40" width="6.7109375" style="51" customWidth="1"/>
    <col min="41" max="115" width="9.140625" style="65"/>
    <col min="116" max="16384" width="9.140625" style="51"/>
  </cols>
  <sheetData>
    <row r="1" spans="2:40" s="65" customFormat="1" x14ac:dyDescent="0.25"/>
    <row r="2" spans="2:40" s="65" customFormat="1" x14ac:dyDescent="0.25"/>
    <row r="3" spans="2:40" s="65" customFormat="1" x14ac:dyDescent="0.25"/>
    <row r="4" spans="2:40" s="65" customFormat="1" x14ac:dyDescent="0.25"/>
    <row r="5" spans="2:40" s="65" customFormat="1" ht="15.75" thickBot="1" x14ac:dyDescent="0.3"/>
    <row r="6" spans="2:40" s="65" customFormat="1" ht="15.75" thickBot="1" x14ac:dyDescent="0.3">
      <c r="B6" s="144" t="s">
        <v>63</v>
      </c>
      <c r="C6" s="145"/>
      <c r="D6" s="145"/>
      <c r="E6" s="145"/>
      <c r="F6" s="146"/>
      <c r="G6" s="78" t="s">
        <v>60</v>
      </c>
      <c r="H6" s="78" t="s">
        <v>84</v>
      </c>
      <c r="I6" s="78" t="s">
        <v>61</v>
      </c>
      <c r="J6" s="78" t="s">
        <v>62</v>
      </c>
      <c r="K6" s="87"/>
    </row>
    <row r="7" spans="2:40" ht="15.75" customHeight="1" thickBot="1" x14ac:dyDescent="0.3">
      <c r="B7" s="139" t="s">
        <v>68</v>
      </c>
      <c r="C7" s="149" t="str">
        <f ca="1">'Grupa A'!B7</f>
        <v>0 ()</v>
      </c>
      <c r="D7" s="150"/>
      <c r="E7" s="150"/>
      <c r="F7" s="151"/>
      <c r="G7" s="139">
        <f>SUM(H7:J8)</f>
        <v>0</v>
      </c>
      <c r="H7" s="140"/>
      <c r="I7" s="140"/>
      <c r="J7" s="140"/>
      <c r="K7" s="91"/>
      <c r="R7" s="65"/>
      <c r="S7" s="65"/>
      <c r="T7" s="65"/>
      <c r="AB7" s="65"/>
      <c r="AC7" s="65"/>
      <c r="AD7" s="65"/>
      <c r="AL7" s="65"/>
      <c r="AM7" s="65"/>
      <c r="AN7" s="65"/>
    </row>
    <row r="8" spans="2:40" ht="15.75" customHeight="1" thickBot="1" x14ac:dyDescent="0.3">
      <c r="B8" s="139"/>
      <c r="C8" s="152"/>
      <c r="D8" s="153"/>
      <c r="E8" s="153"/>
      <c r="F8" s="154"/>
      <c r="G8" s="139"/>
      <c r="H8" s="140"/>
      <c r="I8" s="140"/>
      <c r="J8" s="140"/>
      <c r="K8" s="91"/>
      <c r="R8" s="65"/>
      <c r="S8" s="65"/>
      <c r="T8" s="65"/>
      <c r="AB8" s="65"/>
      <c r="AC8" s="65"/>
      <c r="AD8" s="65"/>
      <c r="AL8" s="65"/>
      <c r="AM8" s="65"/>
      <c r="AN8" s="65"/>
    </row>
    <row r="9" spans="2:40" ht="15.75" customHeight="1" thickBot="1" x14ac:dyDescent="0.3">
      <c r="B9" s="139" t="s">
        <v>70</v>
      </c>
      <c r="C9" s="155" t="str">
        <f ca="1">'Grupa B'!B10</f>
        <v>0 ()</v>
      </c>
      <c r="D9" s="155"/>
      <c r="E9" s="155"/>
      <c r="F9" s="155"/>
      <c r="G9" s="139">
        <f>SUM(H9:J10)</f>
        <v>0</v>
      </c>
      <c r="H9" s="140"/>
      <c r="I9" s="140"/>
      <c r="J9" s="140"/>
      <c r="K9" s="91"/>
      <c r="R9" s="65"/>
      <c r="S9" s="65"/>
      <c r="T9" s="65"/>
      <c r="AB9" s="65"/>
      <c r="AC9" s="65"/>
      <c r="AD9" s="65"/>
      <c r="AL9" s="65"/>
      <c r="AM9" s="65"/>
      <c r="AN9" s="65"/>
    </row>
    <row r="10" spans="2:40" ht="15.75" customHeight="1" thickBot="1" x14ac:dyDescent="0.3">
      <c r="B10" s="139"/>
      <c r="C10" s="155"/>
      <c r="D10" s="155"/>
      <c r="E10" s="155"/>
      <c r="F10" s="155"/>
      <c r="G10" s="139"/>
      <c r="H10" s="140"/>
      <c r="I10" s="140"/>
      <c r="J10" s="140"/>
      <c r="K10" s="91"/>
      <c r="R10" s="65"/>
      <c r="S10" s="65"/>
      <c r="T10" s="65"/>
      <c r="AB10" s="65"/>
      <c r="AC10" s="65"/>
      <c r="AD10" s="65"/>
      <c r="AL10" s="65"/>
      <c r="AM10" s="65"/>
      <c r="AN10" s="65"/>
    </row>
    <row r="11" spans="2:40" s="65" customFormat="1" ht="15.75" thickBot="1" x14ac:dyDescent="0.3"/>
    <row r="12" spans="2:40" ht="15.75" thickBot="1" x14ac:dyDescent="0.3">
      <c r="B12" s="144" t="s">
        <v>29</v>
      </c>
      <c r="C12" s="145"/>
      <c r="D12" s="145"/>
      <c r="E12" s="145"/>
      <c r="F12" s="146"/>
      <c r="G12" s="78" t="s">
        <v>60</v>
      </c>
      <c r="H12" s="78" t="s">
        <v>84</v>
      </c>
      <c r="I12" s="78" t="s">
        <v>61</v>
      </c>
      <c r="J12" s="78" t="s">
        <v>62</v>
      </c>
      <c r="K12" s="87"/>
      <c r="L12" s="144" t="s">
        <v>66</v>
      </c>
      <c r="M12" s="145"/>
      <c r="N12" s="145"/>
      <c r="O12" s="145"/>
      <c r="P12" s="146"/>
      <c r="Q12" s="78" t="s">
        <v>60</v>
      </c>
      <c r="R12" s="78" t="s">
        <v>84</v>
      </c>
      <c r="S12" s="78" t="s">
        <v>61</v>
      </c>
      <c r="T12" s="78" t="s">
        <v>62</v>
      </c>
      <c r="U12" s="87"/>
      <c r="AB12" s="65"/>
      <c r="AC12" s="65"/>
      <c r="AD12" s="65"/>
      <c r="AL12" s="65"/>
      <c r="AM12" s="65"/>
      <c r="AN12" s="65"/>
    </row>
    <row r="13" spans="2:40" ht="15.75" customHeight="1" thickBot="1" x14ac:dyDescent="0.3">
      <c r="B13" s="139" t="s">
        <v>71</v>
      </c>
      <c r="C13" s="155" t="str">
        <f ca="1">'Grupa B'!B8</f>
        <v>0 ()</v>
      </c>
      <c r="D13" s="155"/>
      <c r="E13" s="155"/>
      <c r="F13" s="155"/>
      <c r="G13" s="139">
        <f>SUM(H13:J14)</f>
        <v>0</v>
      </c>
      <c r="H13" s="140"/>
      <c r="I13" s="140"/>
      <c r="J13" s="140"/>
      <c r="K13" s="91"/>
      <c r="L13" s="139" t="s">
        <v>76</v>
      </c>
      <c r="M13" s="155" t="str">
        <f>IF(G7=G9," ",IF(G7&gt;G9,C7,C9))</f>
        <v xml:space="preserve"> </v>
      </c>
      <c r="N13" s="155"/>
      <c r="O13" s="155"/>
      <c r="P13" s="155"/>
      <c r="Q13" s="139">
        <f>SUM(R13:T14)</f>
        <v>0</v>
      </c>
      <c r="R13" s="140"/>
      <c r="S13" s="140"/>
      <c r="T13" s="140"/>
      <c r="U13" s="91"/>
      <c r="AB13" s="65"/>
      <c r="AC13" s="65"/>
      <c r="AD13" s="65"/>
      <c r="AL13" s="65"/>
      <c r="AM13" s="65"/>
      <c r="AN13" s="65"/>
    </row>
    <row r="14" spans="2:40" ht="15.75" customHeight="1" thickBot="1" x14ac:dyDescent="0.3">
      <c r="B14" s="139"/>
      <c r="C14" s="155"/>
      <c r="D14" s="155"/>
      <c r="E14" s="155"/>
      <c r="F14" s="155"/>
      <c r="G14" s="139"/>
      <c r="H14" s="140"/>
      <c r="I14" s="140"/>
      <c r="J14" s="140"/>
      <c r="K14" s="91"/>
      <c r="L14" s="139"/>
      <c r="M14" s="155"/>
      <c r="N14" s="155"/>
      <c r="O14" s="155"/>
      <c r="P14" s="155"/>
      <c r="Q14" s="139"/>
      <c r="R14" s="140"/>
      <c r="S14" s="140"/>
      <c r="T14" s="140"/>
      <c r="U14" s="91"/>
      <c r="AB14" s="65"/>
      <c r="AC14" s="65"/>
      <c r="AD14" s="65"/>
      <c r="AL14" s="65"/>
      <c r="AM14" s="65"/>
      <c r="AN14" s="65"/>
    </row>
    <row r="15" spans="2:40" ht="15.75" customHeight="1" thickBot="1" x14ac:dyDescent="0.3">
      <c r="B15" s="139" t="s">
        <v>72</v>
      </c>
      <c r="C15" s="155" t="str">
        <f ca="1">'Grupa A'!B9</f>
        <v>0 ()</v>
      </c>
      <c r="D15" s="155"/>
      <c r="E15" s="155"/>
      <c r="F15" s="155"/>
      <c r="G15" s="139">
        <f>SUM(H15:J16)</f>
        <v>0</v>
      </c>
      <c r="H15" s="140"/>
      <c r="I15" s="140"/>
      <c r="J15" s="140"/>
      <c r="K15" s="91"/>
      <c r="L15" s="139" t="s">
        <v>77</v>
      </c>
      <c r="M15" s="155" t="str">
        <f>IF(G13=G15," ",IF(G13&gt;G15,C13,C15))</f>
        <v xml:space="preserve"> </v>
      </c>
      <c r="N15" s="155"/>
      <c r="O15" s="155"/>
      <c r="P15" s="155"/>
      <c r="Q15" s="139">
        <f>SUM(R15:T16)</f>
        <v>0</v>
      </c>
      <c r="R15" s="140"/>
      <c r="S15" s="140"/>
      <c r="T15" s="140"/>
      <c r="U15" s="91"/>
      <c r="V15" s="141"/>
      <c r="W15" s="142"/>
      <c r="X15" s="142"/>
      <c r="Y15" s="142"/>
      <c r="Z15" s="143"/>
      <c r="AA15" s="78" t="s">
        <v>60</v>
      </c>
      <c r="AB15" s="78" t="s">
        <v>84</v>
      </c>
      <c r="AC15" s="78" t="s">
        <v>61</v>
      </c>
      <c r="AD15" s="78" t="s">
        <v>62</v>
      </c>
      <c r="AE15" s="87"/>
      <c r="AF15" s="141"/>
      <c r="AG15" s="142"/>
      <c r="AH15" s="142"/>
      <c r="AI15" s="142"/>
      <c r="AJ15" s="143"/>
      <c r="AK15" s="78" t="s">
        <v>60</v>
      </c>
      <c r="AL15" s="78" t="s">
        <v>84</v>
      </c>
      <c r="AM15" s="78" t="s">
        <v>61</v>
      </c>
      <c r="AN15" s="78" t="s">
        <v>62</v>
      </c>
    </row>
    <row r="16" spans="2:40" ht="15.75" customHeight="1" thickBot="1" x14ac:dyDescent="0.3">
      <c r="B16" s="139"/>
      <c r="C16" s="155"/>
      <c r="D16" s="155"/>
      <c r="E16" s="155"/>
      <c r="F16" s="155"/>
      <c r="G16" s="139"/>
      <c r="H16" s="140"/>
      <c r="I16" s="140"/>
      <c r="J16" s="140"/>
      <c r="K16" s="91"/>
      <c r="L16" s="139"/>
      <c r="M16" s="155"/>
      <c r="N16" s="155"/>
      <c r="O16" s="155"/>
      <c r="P16" s="155"/>
      <c r="Q16" s="139"/>
      <c r="R16" s="140"/>
      <c r="S16" s="140"/>
      <c r="T16" s="140"/>
      <c r="U16" s="91"/>
      <c r="V16" s="139" t="s">
        <v>80</v>
      </c>
      <c r="W16" s="155" t="str">
        <f>IF(Q13=Q15," ",IF(Q13&lt;Q15,M13,M15))</f>
        <v xml:space="preserve"> </v>
      </c>
      <c r="X16" s="155"/>
      <c r="Y16" s="155"/>
      <c r="Z16" s="155"/>
      <c r="AA16" s="139">
        <f>SUM(AB16:AD17)</f>
        <v>0</v>
      </c>
      <c r="AB16" s="140"/>
      <c r="AC16" s="140"/>
      <c r="AD16" s="140"/>
      <c r="AE16" s="91"/>
      <c r="AF16" s="139" t="s">
        <v>82</v>
      </c>
      <c r="AG16" s="155" t="str">
        <f>IF(Q13=Q15," ",IF(Q13&gt;Q15,M13,M15))</f>
        <v xml:space="preserve"> </v>
      </c>
      <c r="AH16" s="155"/>
      <c r="AI16" s="155"/>
      <c r="AJ16" s="155"/>
      <c r="AK16" s="139">
        <f>SUM(AL16:AN17)</f>
        <v>0</v>
      </c>
      <c r="AL16" s="140"/>
      <c r="AM16" s="140"/>
      <c r="AN16" s="137"/>
    </row>
    <row r="17" spans="2:40" ht="15.75" customHeight="1" thickBot="1" x14ac:dyDescent="0.3">
      <c r="H17" s="65"/>
      <c r="I17" s="65"/>
      <c r="J17" s="65"/>
      <c r="R17" s="65"/>
      <c r="S17" s="65"/>
      <c r="T17" s="65"/>
      <c r="V17" s="139"/>
      <c r="W17" s="155"/>
      <c r="X17" s="155"/>
      <c r="Y17" s="155"/>
      <c r="Z17" s="155"/>
      <c r="AA17" s="139"/>
      <c r="AB17" s="140"/>
      <c r="AC17" s="140"/>
      <c r="AD17" s="140"/>
      <c r="AE17" s="91"/>
      <c r="AF17" s="139"/>
      <c r="AG17" s="155"/>
      <c r="AH17" s="155"/>
      <c r="AI17" s="155"/>
      <c r="AJ17" s="155"/>
      <c r="AK17" s="139"/>
      <c r="AL17" s="140"/>
      <c r="AM17" s="140"/>
      <c r="AN17" s="138"/>
    </row>
    <row r="18" spans="2:40" ht="15.75" customHeight="1" thickBot="1" x14ac:dyDescent="0.3">
      <c r="B18" s="144" t="s">
        <v>64</v>
      </c>
      <c r="C18" s="145"/>
      <c r="D18" s="145"/>
      <c r="E18" s="145"/>
      <c r="F18" s="146"/>
      <c r="G18" s="78" t="s">
        <v>60</v>
      </c>
      <c r="H18" s="78" t="s">
        <v>84</v>
      </c>
      <c r="I18" s="78" t="s">
        <v>61</v>
      </c>
      <c r="J18" s="78" t="s">
        <v>62</v>
      </c>
      <c r="K18" s="87"/>
      <c r="L18" s="144" t="s">
        <v>67</v>
      </c>
      <c r="M18" s="145"/>
      <c r="N18" s="145"/>
      <c r="O18" s="145"/>
      <c r="P18" s="146"/>
      <c r="Q18" s="78" t="s">
        <v>60</v>
      </c>
      <c r="R18" s="78" t="s">
        <v>84</v>
      </c>
      <c r="S18" s="78" t="s">
        <v>61</v>
      </c>
      <c r="T18" s="78" t="s">
        <v>62</v>
      </c>
      <c r="U18" s="87"/>
      <c r="V18" s="139" t="s">
        <v>81</v>
      </c>
      <c r="W18" s="155" t="str">
        <f>IF(Q19=Q21," ",IF(Q19&lt;Q21,M19,M21))</f>
        <v xml:space="preserve"> </v>
      </c>
      <c r="X18" s="155"/>
      <c r="Y18" s="155"/>
      <c r="Z18" s="155"/>
      <c r="AA18" s="139">
        <f>SUM(AB18:AD19)</f>
        <v>0</v>
      </c>
      <c r="AB18" s="140"/>
      <c r="AC18" s="140"/>
      <c r="AD18" s="140"/>
      <c r="AE18" s="91"/>
      <c r="AF18" s="139" t="s">
        <v>83</v>
      </c>
      <c r="AG18" s="155" t="str">
        <f>IF(Q19=Q21," ",IF(Q19&gt;Q21,M19,M21))</f>
        <v xml:space="preserve"> </v>
      </c>
      <c r="AH18" s="155"/>
      <c r="AI18" s="155"/>
      <c r="AJ18" s="155"/>
      <c r="AK18" s="139">
        <f>SUM(AL18:AN19)</f>
        <v>0</v>
      </c>
      <c r="AL18" s="140"/>
      <c r="AM18" s="140"/>
      <c r="AN18" s="137"/>
    </row>
    <row r="19" spans="2:40" ht="15.75" customHeight="1" thickBot="1" x14ac:dyDescent="0.3">
      <c r="B19" s="139" t="s">
        <v>69</v>
      </c>
      <c r="C19" s="155" t="str">
        <f ca="1">'Grupa B'!B7</f>
        <v>0 ()</v>
      </c>
      <c r="D19" s="155"/>
      <c r="E19" s="155"/>
      <c r="F19" s="155"/>
      <c r="G19" s="139">
        <f>SUM(H19:J20)</f>
        <v>0</v>
      </c>
      <c r="H19" s="140"/>
      <c r="I19" s="140"/>
      <c r="J19" s="140"/>
      <c r="K19" s="91"/>
      <c r="L19" s="139" t="s">
        <v>78</v>
      </c>
      <c r="M19" s="155" t="str">
        <f>IF(G19=G21," ",IF(G19&gt;G21,C19,C21))</f>
        <v xml:space="preserve"> </v>
      </c>
      <c r="N19" s="155"/>
      <c r="O19" s="155"/>
      <c r="P19" s="155"/>
      <c r="Q19" s="139">
        <f>SUM(R19:T20)</f>
        <v>0</v>
      </c>
      <c r="R19" s="140"/>
      <c r="S19" s="140"/>
      <c r="T19" s="140"/>
      <c r="U19" s="91"/>
      <c r="V19" s="139"/>
      <c r="W19" s="155"/>
      <c r="X19" s="155"/>
      <c r="Y19" s="155"/>
      <c r="Z19" s="155"/>
      <c r="AA19" s="139"/>
      <c r="AB19" s="140"/>
      <c r="AC19" s="140"/>
      <c r="AD19" s="140"/>
      <c r="AE19" s="91"/>
      <c r="AF19" s="139"/>
      <c r="AG19" s="155"/>
      <c r="AH19" s="155"/>
      <c r="AI19" s="155"/>
      <c r="AJ19" s="155"/>
      <c r="AK19" s="139"/>
      <c r="AL19" s="140"/>
      <c r="AM19" s="140"/>
      <c r="AN19" s="138"/>
    </row>
    <row r="20" spans="2:40" ht="15.75" customHeight="1" thickBot="1" x14ac:dyDescent="0.3">
      <c r="B20" s="139"/>
      <c r="C20" s="155"/>
      <c r="D20" s="155"/>
      <c r="E20" s="155"/>
      <c r="F20" s="155"/>
      <c r="G20" s="139"/>
      <c r="H20" s="140"/>
      <c r="I20" s="140"/>
      <c r="J20" s="140"/>
      <c r="K20" s="91"/>
      <c r="L20" s="139"/>
      <c r="M20" s="155"/>
      <c r="N20" s="155"/>
      <c r="O20" s="155"/>
      <c r="P20" s="155"/>
      <c r="Q20" s="139"/>
      <c r="R20" s="140"/>
      <c r="S20" s="140"/>
      <c r="T20" s="140"/>
      <c r="U20" s="91"/>
      <c r="AB20" s="65"/>
      <c r="AC20" s="65"/>
      <c r="AD20" s="65"/>
      <c r="AL20" s="65"/>
      <c r="AM20" s="65"/>
      <c r="AN20" s="65"/>
    </row>
    <row r="21" spans="2:40" ht="15.75" customHeight="1" thickBot="1" x14ac:dyDescent="0.3">
      <c r="B21" s="139" t="s">
        <v>73</v>
      </c>
      <c r="C21" s="149" t="str">
        <f ca="1">'Grupa A'!B10</f>
        <v>0 ()</v>
      </c>
      <c r="D21" s="150"/>
      <c r="E21" s="150"/>
      <c r="F21" s="151"/>
      <c r="G21" s="139">
        <f>SUM(H21:J22)</f>
        <v>0</v>
      </c>
      <c r="H21" s="140"/>
      <c r="I21" s="140"/>
      <c r="J21" s="140"/>
      <c r="K21" s="91"/>
      <c r="L21" s="139" t="s">
        <v>79</v>
      </c>
      <c r="M21" s="155" t="str">
        <f>IF(G25=G27," ",IF(G25&gt;G27,C25,C27))</f>
        <v xml:space="preserve"> </v>
      </c>
      <c r="N21" s="155"/>
      <c r="O21" s="155"/>
      <c r="P21" s="155"/>
      <c r="Q21" s="139">
        <f>SUM(R21:T22)</f>
        <v>0</v>
      </c>
      <c r="R21" s="140"/>
      <c r="S21" s="140"/>
      <c r="T21" s="140"/>
      <c r="U21" s="91"/>
      <c r="AB21" s="65"/>
      <c r="AC21" s="65"/>
      <c r="AD21" s="65"/>
      <c r="AL21" s="65"/>
      <c r="AM21" s="65"/>
      <c r="AN21" s="65"/>
    </row>
    <row r="22" spans="2:40" ht="15.75" customHeight="1" thickBot="1" x14ac:dyDescent="0.3">
      <c r="B22" s="139"/>
      <c r="C22" s="152"/>
      <c r="D22" s="153"/>
      <c r="E22" s="153"/>
      <c r="F22" s="154"/>
      <c r="G22" s="139"/>
      <c r="H22" s="140"/>
      <c r="I22" s="140"/>
      <c r="J22" s="140"/>
      <c r="K22" s="91"/>
      <c r="L22" s="139"/>
      <c r="M22" s="155"/>
      <c r="N22" s="155"/>
      <c r="O22" s="155"/>
      <c r="P22" s="155"/>
      <c r="Q22" s="139"/>
      <c r="R22" s="140"/>
      <c r="S22" s="140"/>
      <c r="T22" s="140"/>
      <c r="U22" s="91"/>
      <c r="AB22" s="65"/>
      <c r="AC22" s="65"/>
      <c r="AD22" s="65"/>
      <c r="AL22" s="65"/>
      <c r="AM22" s="65"/>
      <c r="AN22" s="65"/>
    </row>
    <row r="23" spans="2:40" ht="15.75" thickBot="1" x14ac:dyDescent="0.3">
      <c r="H23" s="65"/>
      <c r="I23" s="65"/>
      <c r="J23" s="65"/>
      <c r="R23" s="65"/>
      <c r="S23" s="65"/>
      <c r="T23" s="65"/>
      <c r="AB23" s="65"/>
      <c r="AC23" s="65"/>
      <c r="AD23" s="65"/>
      <c r="AL23" s="65"/>
      <c r="AM23" s="65"/>
      <c r="AN23" s="65"/>
    </row>
    <row r="24" spans="2:40" ht="15.75" thickBot="1" x14ac:dyDescent="0.3">
      <c r="B24" s="144" t="s">
        <v>65</v>
      </c>
      <c r="C24" s="145"/>
      <c r="D24" s="145"/>
      <c r="E24" s="145"/>
      <c r="F24" s="146"/>
      <c r="G24" s="78" t="s">
        <v>60</v>
      </c>
      <c r="H24" s="78" t="s">
        <v>84</v>
      </c>
      <c r="I24" s="78" t="s">
        <v>61</v>
      </c>
      <c r="J24" s="78" t="s">
        <v>62</v>
      </c>
      <c r="K24" s="87"/>
      <c r="R24" s="65"/>
      <c r="S24" s="65"/>
      <c r="T24" s="65"/>
      <c r="AB24" s="65"/>
      <c r="AC24" s="65"/>
      <c r="AD24" s="65"/>
      <c r="AL24" s="65"/>
      <c r="AM24" s="65"/>
      <c r="AN24" s="65"/>
    </row>
    <row r="25" spans="2:40" ht="15.75" customHeight="1" thickBot="1" x14ac:dyDescent="0.3">
      <c r="B25" s="139" t="s">
        <v>74</v>
      </c>
      <c r="C25" s="155" t="str">
        <f ca="1">'Grupa A'!B8</f>
        <v>0 ()</v>
      </c>
      <c r="D25" s="155"/>
      <c r="E25" s="155"/>
      <c r="F25" s="155"/>
      <c r="G25" s="139">
        <f>SUM(H25:J26)</f>
        <v>0</v>
      </c>
      <c r="H25" s="140"/>
      <c r="I25" s="140"/>
      <c r="J25" s="140"/>
      <c r="K25" s="91"/>
      <c r="R25" s="65"/>
      <c r="S25" s="65"/>
      <c r="T25" s="65"/>
      <c r="AB25" s="65"/>
      <c r="AC25" s="65"/>
      <c r="AD25" s="65"/>
      <c r="AL25" s="65"/>
      <c r="AM25" s="65"/>
      <c r="AN25" s="65"/>
    </row>
    <row r="26" spans="2:40" ht="15.75" customHeight="1" thickBot="1" x14ac:dyDescent="0.3">
      <c r="B26" s="139"/>
      <c r="C26" s="155"/>
      <c r="D26" s="155"/>
      <c r="E26" s="155"/>
      <c r="F26" s="155"/>
      <c r="G26" s="139"/>
      <c r="H26" s="140"/>
      <c r="I26" s="140"/>
      <c r="J26" s="140"/>
      <c r="K26" s="91"/>
      <c r="R26" s="65"/>
      <c r="S26" s="65"/>
      <c r="T26" s="65"/>
      <c r="AB26" s="65"/>
      <c r="AC26" s="65"/>
      <c r="AD26" s="65"/>
      <c r="AL26" s="65"/>
      <c r="AM26" s="65"/>
      <c r="AN26" s="65"/>
    </row>
    <row r="27" spans="2:40" ht="15.75" customHeight="1" thickBot="1" x14ac:dyDescent="0.3">
      <c r="B27" s="139" t="s">
        <v>75</v>
      </c>
      <c r="C27" s="155" t="str">
        <f ca="1">'Grupa B'!B9</f>
        <v>0 ()</v>
      </c>
      <c r="D27" s="155"/>
      <c r="E27" s="155"/>
      <c r="F27" s="155"/>
      <c r="G27" s="139">
        <f>SUM(H27:J28)</f>
        <v>0</v>
      </c>
      <c r="H27" s="140"/>
      <c r="I27" s="140"/>
      <c r="J27" s="140"/>
      <c r="K27" s="91"/>
      <c r="R27" s="65"/>
      <c r="S27" s="65"/>
      <c r="T27" s="65"/>
      <c r="AB27" s="65"/>
      <c r="AC27" s="65"/>
      <c r="AD27" s="65"/>
      <c r="AL27" s="65"/>
      <c r="AM27" s="65"/>
      <c r="AN27" s="65"/>
    </row>
    <row r="28" spans="2:40" ht="15.75" customHeight="1" thickBot="1" x14ac:dyDescent="0.3">
      <c r="B28" s="139"/>
      <c r="C28" s="155"/>
      <c r="D28" s="155"/>
      <c r="E28" s="155"/>
      <c r="F28" s="155"/>
      <c r="G28" s="139"/>
      <c r="H28" s="140"/>
      <c r="I28" s="140"/>
      <c r="J28" s="140"/>
      <c r="K28" s="91"/>
      <c r="R28" s="65"/>
      <c r="S28" s="65"/>
      <c r="T28" s="65"/>
      <c r="AB28" s="65"/>
      <c r="AC28" s="65"/>
      <c r="AD28" s="65"/>
      <c r="AL28" s="65"/>
      <c r="AM28" s="65"/>
      <c r="AN28" s="65"/>
    </row>
    <row r="29" spans="2:40" x14ac:dyDescent="0.25">
      <c r="H29" s="65"/>
      <c r="I29" s="65"/>
      <c r="J29" s="65"/>
      <c r="R29" s="65"/>
      <c r="S29" s="65"/>
      <c r="T29" s="65"/>
      <c r="AB29" s="65"/>
      <c r="AC29" s="65"/>
      <c r="AD29" s="65"/>
      <c r="AL29" s="65"/>
      <c r="AM29" s="65"/>
      <c r="AN29" s="65"/>
    </row>
    <row r="30" spans="2:40" x14ac:dyDescent="0.25">
      <c r="H30" s="65"/>
      <c r="I30" s="65"/>
      <c r="J30" s="65"/>
      <c r="R30" s="65"/>
      <c r="S30" s="65"/>
      <c r="T30" s="65"/>
      <c r="AB30" s="65"/>
      <c r="AC30" s="65"/>
      <c r="AD30" s="65"/>
      <c r="AL30" s="65"/>
      <c r="AM30" s="65"/>
      <c r="AN30" s="65"/>
    </row>
    <row r="31" spans="2:40" x14ac:dyDescent="0.25">
      <c r="H31" s="65"/>
      <c r="I31" s="65"/>
      <c r="J31" s="65"/>
      <c r="R31" s="65"/>
      <c r="S31" s="65"/>
      <c r="T31" s="65"/>
      <c r="AB31" s="65"/>
      <c r="AC31" s="65"/>
      <c r="AD31" s="65"/>
      <c r="AL31" s="65"/>
      <c r="AM31" s="65"/>
      <c r="AN31" s="65"/>
    </row>
    <row r="32" spans="2:40" x14ac:dyDescent="0.25">
      <c r="H32" s="65"/>
      <c r="I32" s="65"/>
      <c r="J32" s="65"/>
      <c r="R32" s="65"/>
      <c r="S32" s="65"/>
      <c r="T32" s="65"/>
      <c r="AB32" s="65"/>
      <c r="AC32" s="65"/>
      <c r="AD32" s="65"/>
      <c r="AL32" s="65"/>
      <c r="AM32" s="65"/>
      <c r="AN32" s="65"/>
    </row>
    <row r="33" spans="2:40" s="65" customFormat="1" ht="15.75" thickBot="1" x14ac:dyDescent="0.3"/>
    <row r="34" spans="2:40" s="65" customFormat="1" ht="15.75" thickBot="1" x14ac:dyDescent="0.3">
      <c r="B34" s="141"/>
      <c r="C34" s="142"/>
      <c r="D34" s="142"/>
      <c r="E34" s="142"/>
      <c r="F34" s="143"/>
      <c r="G34" s="78" t="s">
        <v>60</v>
      </c>
      <c r="H34" s="78" t="s">
        <v>84</v>
      </c>
      <c r="I34" s="78" t="s">
        <v>61</v>
      </c>
      <c r="J34" s="78" t="s">
        <v>62</v>
      </c>
      <c r="L34" s="144" t="s">
        <v>90</v>
      </c>
      <c r="M34" s="145"/>
      <c r="N34" s="145"/>
      <c r="O34" s="145"/>
      <c r="P34" s="146"/>
      <c r="Q34" s="78" t="s">
        <v>60</v>
      </c>
      <c r="R34" s="78" t="s">
        <v>84</v>
      </c>
      <c r="S34" s="78" t="s">
        <v>61</v>
      </c>
      <c r="T34" s="78" t="s">
        <v>62</v>
      </c>
      <c r="V34" s="141"/>
      <c r="W34" s="142"/>
      <c r="X34" s="142"/>
      <c r="Y34" s="142"/>
      <c r="Z34" s="143"/>
      <c r="AA34" s="78" t="s">
        <v>60</v>
      </c>
      <c r="AB34" s="78" t="s">
        <v>84</v>
      </c>
      <c r="AC34" s="78" t="s">
        <v>61</v>
      </c>
      <c r="AD34" s="78" t="s">
        <v>62</v>
      </c>
      <c r="AF34" s="141"/>
      <c r="AG34" s="142"/>
      <c r="AH34" s="142"/>
      <c r="AI34" s="142"/>
      <c r="AJ34" s="143"/>
      <c r="AK34" s="78" t="s">
        <v>60</v>
      </c>
      <c r="AL34" s="78" t="s">
        <v>84</v>
      </c>
      <c r="AM34" s="78" t="s">
        <v>61</v>
      </c>
      <c r="AN34" s="78" t="s">
        <v>62</v>
      </c>
    </row>
    <row r="35" spans="2:40" s="65" customFormat="1" ht="15.75" thickBot="1" x14ac:dyDescent="0.3">
      <c r="B35" s="139" t="s">
        <v>99</v>
      </c>
      <c r="C35" s="155" t="str">
        <f ca="1">'Grupa A'!B11</f>
        <v>0 ()</v>
      </c>
      <c r="D35" s="155"/>
      <c r="E35" s="155"/>
      <c r="F35" s="155"/>
      <c r="G35" s="139">
        <f>SUM(H35:J36)</f>
        <v>0</v>
      </c>
      <c r="H35" s="140"/>
      <c r="I35" s="140"/>
      <c r="J35" s="140"/>
      <c r="L35" s="139" t="s">
        <v>85</v>
      </c>
      <c r="M35" s="155" t="str">
        <f>IF(G7=G9," ",IF(G7&lt;G9,C7,C9))</f>
        <v xml:space="preserve"> </v>
      </c>
      <c r="N35" s="155"/>
      <c r="O35" s="155"/>
      <c r="P35" s="155"/>
      <c r="Q35" s="139">
        <f>SUM(R35:T36)</f>
        <v>0</v>
      </c>
      <c r="R35" s="140"/>
      <c r="S35" s="140"/>
      <c r="T35" s="140"/>
      <c r="V35" s="139" t="s">
        <v>102</v>
      </c>
      <c r="W35" s="155" t="str">
        <f>IF(Q35=Q37," ",IF(Q35&lt;Q37,M35,M37))</f>
        <v xml:space="preserve"> </v>
      </c>
      <c r="X35" s="155"/>
      <c r="Y35" s="155"/>
      <c r="Z35" s="155"/>
      <c r="AA35" s="139">
        <f>SUM(AB35:AD36)</f>
        <v>0</v>
      </c>
      <c r="AB35" s="140"/>
      <c r="AC35" s="140"/>
      <c r="AD35" s="140"/>
      <c r="AF35" s="139" t="s">
        <v>104</v>
      </c>
      <c r="AG35" s="155" t="str">
        <f>IF(Q35=Q37," ",IF(Q35&gt;Q37,M35,M37))</f>
        <v xml:space="preserve"> </v>
      </c>
      <c r="AH35" s="155"/>
      <c r="AI35" s="155"/>
      <c r="AJ35" s="155"/>
      <c r="AK35" s="139">
        <f>SUM(AL35:AN36)</f>
        <v>0</v>
      </c>
      <c r="AL35" s="140"/>
      <c r="AM35" s="140"/>
      <c r="AN35" s="140"/>
    </row>
    <row r="36" spans="2:40" s="65" customFormat="1" ht="15.75" thickBot="1" x14ac:dyDescent="0.3">
      <c r="B36" s="139"/>
      <c r="C36" s="155"/>
      <c r="D36" s="155"/>
      <c r="E36" s="155"/>
      <c r="F36" s="155"/>
      <c r="G36" s="139"/>
      <c r="H36" s="140"/>
      <c r="I36" s="140"/>
      <c r="J36" s="140"/>
      <c r="L36" s="139"/>
      <c r="M36" s="155"/>
      <c r="N36" s="155"/>
      <c r="O36" s="155"/>
      <c r="P36" s="155"/>
      <c r="Q36" s="139"/>
      <c r="R36" s="140"/>
      <c r="S36" s="140"/>
      <c r="T36" s="140"/>
      <c r="V36" s="139"/>
      <c r="W36" s="155"/>
      <c r="X36" s="155"/>
      <c r="Y36" s="155"/>
      <c r="Z36" s="155"/>
      <c r="AA36" s="139"/>
      <c r="AB36" s="140"/>
      <c r="AC36" s="140"/>
      <c r="AD36" s="140"/>
      <c r="AF36" s="139"/>
      <c r="AG36" s="155"/>
      <c r="AH36" s="155"/>
      <c r="AI36" s="155"/>
      <c r="AJ36" s="155"/>
      <c r="AK36" s="139"/>
      <c r="AL36" s="140"/>
      <c r="AM36" s="140"/>
      <c r="AN36" s="140"/>
    </row>
    <row r="37" spans="2:40" s="65" customFormat="1" ht="15.75" thickBot="1" x14ac:dyDescent="0.3">
      <c r="B37" s="139" t="s">
        <v>100</v>
      </c>
      <c r="C37" s="155" t="str">
        <f ca="1">'Grupa B'!B11</f>
        <v>0 ()</v>
      </c>
      <c r="D37" s="155"/>
      <c r="E37" s="155"/>
      <c r="F37" s="155"/>
      <c r="G37" s="139">
        <f>SUM(H37:J38)</f>
        <v>0</v>
      </c>
      <c r="H37" s="140"/>
      <c r="I37" s="140"/>
      <c r="J37" s="140"/>
      <c r="L37" s="139" t="s">
        <v>86</v>
      </c>
      <c r="M37" s="155" t="str">
        <f>IF(G13=G15," ",IF(G13&lt;G15,C13,C15))</f>
        <v xml:space="preserve"> </v>
      </c>
      <c r="N37" s="155"/>
      <c r="O37" s="155"/>
      <c r="P37" s="155"/>
      <c r="Q37" s="139">
        <f>SUM(R37:T38)</f>
        <v>0</v>
      </c>
      <c r="R37" s="140"/>
      <c r="S37" s="140"/>
      <c r="T37" s="140"/>
      <c r="V37" s="139" t="s">
        <v>103</v>
      </c>
      <c r="W37" s="155" t="str">
        <f>IF(Q41=Q43," ",IF(Q41&lt;Q43,M41,M43))</f>
        <v xml:space="preserve"> </v>
      </c>
      <c r="X37" s="155"/>
      <c r="Y37" s="155"/>
      <c r="Z37" s="155"/>
      <c r="AA37" s="139">
        <f>SUM(AB37:AD38)</f>
        <v>0</v>
      </c>
      <c r="AB37" s="140"/>
      <c r="AC37" s="140"/>
      <c r="AD37" s="140"/>
      <c r="AF37" s="139" t="s">
        <v>105</v>
      </c>
      <c r="AG37" s="155" t="str">
        <f>IF(Q41=Q43," ",IF(Q41&gt;Q43,M41,M43))</f>
        <v xml:space="preserve"> </v>
      </c>
      <c r="AH37" s="155"/>
      <c r="AI37" s="155"/>
      <c r="AJ37" s="155"/>
      <c r="AK37" s="139">
        <f>SUM(AL37:AN38)</f>
        <v>0</v>
      </c>
      <c r="AL37" s="140"/>
      <c r="AM37" s="140"/>
      <c r="AN37" s="140"/>
    </row>
    <row r="38" spans="2:40" s="65" customFormat="1" ht="15.75" thickBot="1" x14ac:dyDescent="0.3">
      <c r="B38" s="139"/>
      <c r="C38" s="155"/>
      <c r="D38" s="155"/>
      <c r="E38" s="155"/>
      <c r="F38" s="155"/>
      <c r="G38" s="139"/>
      <c r="H38" s="140"/>
      <c r="I38" s="140"/>
      <c r="J38" s="140"/>
      <c r="L38" s="139"/>
      <c r="M38" s="155"/>
      <c r="N38" s="155"/>
      <c r="O38" s="155"/>
      <c r="P38" s="155"/>
      <c r="Q38" s="139"/>
      <c r="R38" s="140"/>
      <c r="S38" s="140"/>
      <c r="T38" s="140"/>
      <c r="V38" s="139"/>
      <c r="W38" s="155"/>
      <c r="X38" s="155"/>
      <c r="Y38" s="155"/>
      <c r="Z38" s="155"/>
      <c r="AA38" s="139"/>
      <c r="AB38" s="140"/>
      <c r="AC38" s="140"/>
      <c r="AD38" s="140"/>
      <c r="AF38" s="139"/>
      <c r="AG38" s="155"/>
      <c r="AH38" s="155"/>
      <c r="AI38" s="155"/>
      <c r="AJ38" s="155"/>
      <c r="AK38" s="139"/>
      <c r="AL38" s="140"/>
      <c r="AM38" s="140"/>
      <c r="AN38" s="140"/>
    </row>
    <row r="39" spans="2:40" s="65" customFormat="1" ht="15.75" thickBot="1" x14ac:dyDescent="0.3"/>
    <row r="40" spans="2:40" s="65" customFormat="1" ht="15.75" thickBot="1" x14ac:dyDescent="0.3">
      <c r="L40" s="144" t="s">
        <v>101</v>
      </c>
      <c r="M40" s="145"/>
      <c r="N40" s="145"/>
      <c r="O40" s="145"/>
      <c r="P40" s="146"/>
      <c r="Q40" s="78" t="s">
        <v>60</v>
      </c>
      <c r="R40" s="78" t="s">
        <v>84</v>
      </c>
      <c r="S40" s="78" t="s">
        <v>61</v>
      </c>
      <c r="T40" s="78" t="s">
        <v>62</v>
      </c>
    </row>
    <row r="41" spans="2:40" s="65" customFormat="1" ht="15.75" thickBot="1" x14ac:dyDescent="0.3">
      <c r="B41" s="125" t="s">
        <v>90</v>
      </c>
      <c r="C41" s="148" t="str">
        <f>IF(AK16&gt;AK18,AG16,AG18)</f>
        <v xml:space="preserve"> </v>
      </c>
      <c r="D41" s="148"/>
      <c r="E41" s="148"/>
      <c r="F41" s="148"/>
      <c r="G41" s="125">
        <v>11</v>
      </c>
      <c r="L41" s="139" t="s">
        <v>87</v>
      </c>
      <c r="M41" s="155" t="str">
        <f>IF(G19=G21," ",IF(G19&lt;G21,C19,C21))</f>
        <v xml:space="preserve"> </v>
      </c>
      <c r="N41" s="155"/>
      <c r="O41" s="155"/>
      <c r="P41" s="155"/>
      <c r="Q41" s="139">
        <f>SUM(R41:T42)</f>
        <v>0</v>
      </c>
      <c r="R41" s="140"/>
      <c r="S41" s="140"/>
      <c r="T41" s="140"/>
    </row>
    <row r="42" spans="2:40" s="65" customFormat="1" ht="15.75" thickBot="1" x14ac:dyDescent="0.3">
      <c r="B42" s="126" t="s">
        <v>91</v>
      </c>
      <c r="C42" s="147" t="str">
        <f>IF(AK16&lt;AK18,AG16,AG18)</f>
        <v xml:space="preserve"> </v>
      </c>
      <c r="D42" s="147"/>
      <c r="E42" s="147"/>
      <c r="F42" s="147"/>
      <c r="G42" s="126">
        <v>10</v>
      </c>
      <c r="L42" s="139"/>
      <c r="M42" s="155"/>
      <c r="N42" s="155"/>
      <c r="O42" s="155"/>
      <c r="P42" s="155"/>
      <c r="Q42" s="139"/>
      <c r="R42" s="140"/>
      <c r="S42" s="140"/>
      <c r="T42" s="140"/>
    </row>
    <row r="43" spans="2:40" s="65" customFormat="1" ht="15.75" thickBot="1" x14ac:dyDescent="0.3">
      <c r="B43" s="126" t="s">
        <v>92</v>
      </c>
      <c r="C43" s="147" t="str">
        <f>IF(AA16&gt;AA18,W16,W18)</f>
        <v xml:space="preserve"> </v>
      </c>
      <c r="D43" s="147"/>
      <c r="E43" s="147"/>
      <c r="F43" s="147"/>
      <c r="G43" s="126">
        <v>9</v>
      </c>
      <c r="L43" s="139" t="s">
        <v>88</v>
      </c>
      <c r="M43" s="155" t="str">
        <f>IF(G25=G27," ",IF(G25&lt;G27,C25,C27))</f>
        <v xml:space="preserve"> </v>
      </c>
      <c r="N43" s="155"/>
      <c r="O43" s="155"/>
      <c r="P43" s="155"/>
      <c r="Q43" s="139">
        <f>SUM(R43:T44)</f>
        <v>0</v>
      </c>
      <c r="R43" s="140"/>
      <c r="S43" s="140"/>
      <c r="T43" s="140"/>
    </row>
    <row r="44" spans="2:40" s="65" customFormat="1" ht="15.75" thickBot="1" x14ac:dyDescent="0.3">
      <c r="B44" s="126" t="s">
        <v>93</v>
      </c>
      <c r="C44" s="147" t="str">
        <f>IF(AA16&lt;AA18,W16,W18)</f>
        <v xml:space="preserve"> </v>
      </c>
      <c r="D44" s="147"/>
      <c r="E44" s="147"/>
      <c r="F44" s="147"/>
      <c r="G44" s="126">
        <v>8</v>
      </c>
      <c r="L44" s="139"/>
      <c r="M44" s="155"/>
      <c r="N44" s="155"/>
      <c r="O44" s="155"/>
      <c r="P44" s="155"/>
      <c r="Q44" s="139"/>
      <c r="R44" s="140"/>
      <c r="S44" s="140"/>
      <c r="T44" s="140"/>
    </row>
    <row r="45" spans="2:40" s="65" customFormat="1" x14ac:dyDescent="0.25">
      <c r="B45" s="126" t="s">
        <v>94</v>
      </c>
      <c r="C45" s="147" t="str">
        <f>IF(AK35&gt;AK37,AG35,AG37)</f>
        <v xml:space="preserve"> </v>
      </c>
      <c r="D45" s="147"/>
      <c r="E45" s="147"/>
      <c r="F45" s="147"/>
      <c r="G45" s="126">
        <v>7</v>
      </c>
    </row>
    <row r="46" spans="2:40" s="65" customFormat="1" x14ac:dyDescent="0.25">
      <c r="B46" s="126" t="s">
        <v>95</v>
      </c>
      <c r="C46" s="147" t="str">
        <f>IF(AK35&lt;AK37,AG35,AG37)</f>
        <v xml:space="preserve"> </v>
      </c>
      <c r="D46" s="147"/>
      <c r="E46" s="147"/>
      <c r="F46" s="147"/>
      <c r="G46" s="126">
        <v>6</v>
      </c>
    </row>
    <row r="47" spans="2:40" s="65" customFormat="1" x14ac:dyDescent="0.25">
      <c r="B47" s="126" t="s">
        <v>96</v>
      </c>
      <c r="C47" s="147" t="str">
        <f>IF(AA35&gt;AA37,W35,W37)</f>
        <v xml:space="preserve"> </v>
      </c>
      <c r="D47" s="147"/>
      <c r="E47" s="147"/>
      <c r="F47" s="147"/>
      <c r="G47" s="126">
        <v>5</v>
      </c>
    </row>
    <row r="48" spans="2:40" s="65" customFormat="1" x14ac:dyDescent="0.25">
      <c r="B48" s="126" t="s">
        <v>97</v>
      </c>
      <c r="C48" s="147" t="str">
        <f>IF(AA35&lt;AA37,W35,W37)</f>
        <v xml:space="preserve"> </v>
      </c>
      <c r="D48" s="147"/>
      <c r="E48" s="147"/>
      <c r="F48" s="147"/>
      <c r="G48" s="126">
        <v>4</v>
      </c>
    </row>
    <row r="49" spans="2:7" s="65" customFormat="1" x14ac:dyDescent="0.25">
      <c r="B49" s="126" t="s">
        <v>98</v>
      </c>
      <c r="C49" s="147" t="str">
        <f ca="1">IF(G35&gt;G37,C35,C37)</f>
        <v>0 ()</v>
      </c>
      <c r="D49" s="147"/>
      <c r="E49" s="147"/>
      <c r="F49" s="147"/>
      <c r="G49" s="126">
        <v>3</v>
      </c>
    </row>
    <row r="50" spans="2:7" s="65" customFormat="1" x14ac:dyDescent="0.25">
      <c r="B50" s="126" t="s">
        <v>106</v>
      </c>
      <c r="C50" s="147" t="str">
        <f ca="1">IF(G35&lt;G37,C35,C37)</f>
        <v>0 ()</v>
      </c>
      <c r="D50" s="147"/>
      <c r="E50" s="147"/>
      <c r="F50" s="147"/>
      <c r="G50" s="126">
        <v>2</v>
      </c>
    </row>
    <row r="51" spans="2:7" s="65" customFormat="1" x14ac:dyDescent="0.25">
      <c r="B51" s="126" t="s">
        <v>107</v>
      </c>
      <c r="C51" s="147" t="str">
        <f ca="1">'Grupa A'!B12</f>
        <v>0 ()</v>
      </c>
      <c r="D51" s="147"/>
      <c r="E51" s="147"/>
      <c r="F51" s="147"/>
      <c r="G51" s="126">
        <v>1</v>
      </c>
    </row>
    <row r="52" spans="2:7" s="65" customFormat="1" x14ac:dyDescent="0.25"/>
    <row r="53" spans="2:7" s="65" customFormat="1" x14ac:dyDescent="0.25"/>
    <row r="54" spans="2:7" s="65" customFormat="1" x14ac:dyDescent="0.25"/>
    <row r="55" spans="2:7" s="65" customFormat="1" x14ac:dyDescent="0.25"/>
    <row r="56" spans="2:7" s="65" customFormat="1" x14ac:dyDescent="0.25"/>
    <row r="57" spans="2:7" s="65" customFormat="1" x14ac:dyDescent="0.25"/>
    <row r="58" spans="2:7" s="65" customFormat="1" x14ac:dyDescent="0.25"/>
    <row r="59" spans="2:7" s="65" customFormat="1" x14ac:dyDescent="0.25"/>
    <row r="60" spans="2:7" s="65" customFormat="1" x14ac:dyDescent="0.25"/>
    <row r="61" spans="2:7" s="65" customFormat="1" x14ac:dyDescent="0.25"/>
    <row r="62" spans="2:7" s="65" customFormat="1" x14ac:dyDescent="0.25"/>
    <row r="63" spans="2:7" s="65" customFormat="1" x14ac:dyDescent="0.25"/>
    <row r="64" spans="2:7" s="65" customFormat="1" x14ac:dyDescent="0.25"/>
    <row r="65" s="65" customFormat="1" x14ac:dyDescent="0.25"/>
    <row r="66" s="65" customFormat="1" x14ac:dyDescent="0.25"/>
    <row r="67" s="65" customFormat="1" x14ac:dyDescent="0.25"/>
    <row r="68" s="65" customFormat="1" x14ac:dyDescent="0.25"/>
    <row r="69" s="65" customFormat="1" x14ac:dyDescent="0.25"/>
    <row r="70" s="65" customFormat="1" x14ac:dyDescent="0.25"/>
    <row r="71" s="65" customFormat="1" x14ac:dyDescent="0.25"/>
  </sheetData>
  <sheetProtection password="E163" sheet="1" objects="1" scenarios="1"/>
  <mergeCells count="180">
    <mergeCell ref="I13:I14"/>
    <mergeCell ref="B18:F18"/>
    <mergeCell ref="C27:F28"/>
    <mergeCell ref="G27:G28"/>
    <mergeCell ref="H27:H28"/>
    <mergeCell ref="I27:I28"/>
    <mergeCell ref="C21:F22"/>
    <mergeCell ref="G21:G22"/>
    <mergeCell ref="H21:H22"/>
    <mergeCell ref="I21:I22"/>
    <mergeCell ref="C25:F26"/>
    <mergeCell ref="G25:G26"/>
    <mergeCell ref="H25:H26"/>
    <mergeCell ref="I25:I26"/>
    <mergeCell ref="B24:F24"/>
    <mergeCell ref="B25:B26"/>
    <mergeCell ref="B27:B28"/>
    <mergeCell ref="AK16:AK17"/>
    <mergeCell ref="AL16:AL17"/>
    <mergeCell ref="AM16:AM17"/>
    <mergeCell ref="AG18:AJ19"/>
    <mergeCell ref="AK18:AK19"/>
    <mergeCell ref="AL18:AL19"/>
    <mergeCell ref="AM18:AM19"/>
    <mergeCell ref="W16:Z17"/>
    <mergeCell ref="AA16:AA17"/>
    <mergeCell ref="AB16:AB17"/>
    <mergeCell ref="AC16:AC17"/>
    <mergeCell ref="W18:Z19"/>
    <mergeCell ref="AA18:AA19"/>
    <mergeCell ref="AB18:AB19"/>
    <mergeCell ref="AC18:AC19"/>
    <mergeCell ref="B6:F6"/>
    <mergeCell ref="AF15:AJ15"/>
    <mergeCell ref="V15:Z15"/>
    <mergeCell ref="L18:P18"/>
    <mergeCell ref="L12:P12"/>
    <mergeCell ref="L13:L14"/>
    <mergeCell ref="L15:L16"/>
    <mergeCell ref="L19:L20"/>
    <mergeCell ref="C15:F16"/>
    <mergeCell ref="G15:G16"/>
    <mergeCell ref="H15:H16"/>
    <mergeCell ref="I15:I16"/>
    <mergeCell ref="C19:F20"/>
    <mergeCell ref="G19:G20"/>
    <mergeCell ref="H19:H20"/>
    <mergeCell ref="I19:I20"/>
    <mergeCell ref="C13:F14"/>
    <mergeCell ref="AG16:AJ17"/>
    <mergeCell ref="C7:F8"/>
    <mergeCell ref="C9:F10"/>
    <mergeCell ref="G7:G8"/>
    <mergeCell ref="H7:H8"/>
    <mergeCell ref="I7:I8"/>
    <mergeCell ref="G9:G10"/>
    <mergeCell ref="B7:B8"/>
    <mergeCell ref="B9:B10"/>
    <mergeCell ref="V18:V19"/>
    <mergeCell ref="T21:T22"/>
    <mergeCell ref="B13:B14"/>
    <mergeCell ref="B15:B16"/>
    <mergeCell ref="B19:B20"/>
    <mergeCell ref="B21:B22"/>
    <mergeCell ref="M13:P14"/>
    <mergeCell ref="Q13:Q14"/>
    <mergeCell ref="R21:R22"/>
    <mergeCell ref="S21:S22"/>
    <mergeCell ref="M21:P22"/>
    <mergeCell ref="M19:P20"/>
    <mergeCell ref="Q19:Q20"/>
    <mergeCell ref="M15:P16"/>
    <mergeCell ref="Q15:Q16"/>
    <mergeCell ref="R19:R20"/>
    <mergeCell ref="S19:S20"/>
    <mergeCell ref="B12:F12"/>
    <mergeCell ref="H9:H10"/>
    <mergeCell ref="I9:I10"/>
    <mergeCell ref="G13:G14"/>
    <mergeCell ref="H13:H14"/>
    <mergeCell ref="J25:J26"/>
    <mergeCell ref="J27:J28"/>
    <mergeCell ref="J7:J8"/>
    <mergeCell ref="J9:J10"/>
    <mergeCell ref="J13:J14"/>
    <mergeCell ref="J15:J16"/>
    <mergeCell ref="J19:J20"/>
    <mergeCell ref="J21:J22"/>
    <mergeCell ref="AN16:AN17"/>
    <mergeCell ref="AN18:AN19"/>
    <mergeCell ref="AD16:AD17"/>
    <mergeCell ref="AD18:AD19"/>
    <mergeCell ref="T13:T14"/>
    <mergeCell ref="T15:T16"/>
    <mergeCell ref="T19:T20"/>
    <mergeCell ref="AF16:AF17"/>
    <mergeCell ref="AF18:AF19"/>
    <mergeCell ref="Q21:Q22"/>
    <mergeCell ref="R13:R14"/>
    <mergeCell ref="S13:S14"/>
    <mergeCell ref="R15:R16"/>
    <mergeCell ref="S15:S16"/>
    <mergeCell ref="L21:L22"/>
    <mergeCell ref="V16:V17"/>
    <mergeCell ref="B34:F34"/>
    <mergeCell ref="B35:B36"/>
    <mergeCell ref="C35:F36"/>
    <mergeCell ref="G35:G36"/>
    <mergeCell ref="H35:H36"/>
    <mergeCell ref="I35:I36"/>
    <mergeCell ref="J35:J36"/>
    <mergeCell ref="B37:B38"/>
    <mergeCell ref="C37:F38"/>
    <mergeCell ref="G37:G38"/>
    <mergeCell ref="H37:H38"/>
    <mergeCell ref="I37:I38"/>
    <mergeCell ref="J37:J38"/>
    <mergeCell ref="L34:P34"/>
    <mergeCell ref="L35:L36"/>
    <mergeCell ref="M35:P36"/>
    <mergeCell ref="Q35:Q36"/>
    <mergeCell ref="R35:R36"/>
    <mergeCell ref="S35:S36"/>
    <mergeCell ref="T35:T36"/>
    <mergeCell ref="L37:L38"/>
    <mergeCell ref="M37:P38"/>
    <mergeCell ref="Q37:Q38"/>
    <mergeCell ref="R37:R38"/>
    <mergeCell ref="S37:S38"/>
    <mergeCell ref="T37:T38"/>
    <mergeCell ref="L40:P40"/>
    <mergeCell ref="L41:L42"/>
    <mergeCell ref="M41:P42"/>
    <mergeCell ref="Q41:Q42"/>
    <mergeCell ref="R41:R42"/>
    <mergeCell ref="S41:S42"/>
    <mergeCell ref="T41:T42"/>
    <mergeCell ref="L43:L44"/>
    <mergeCell ref="M43:P44"/>
    <mergeCell ref="Q43:Q44"/>
    <mergeCell ref="R43:R44"/>
    <mergeCell ref="S43:S44"/>
    <mergeCell ref="T43:T44"/>
    <mergeCell ref="V34:Z34"/>
    <mergeCell ref="V35:V36"/>
    <mergeCell ref="W35:Z36"/>
    <mergeCell ref="AA35:AA36"/>
    <mergeCell ref="AB35:AB36"/>
    <mergeCell ref="AC35:AC36"/>
    <mergeCell ref="AD35:AD36"/>
    <mergeCell ref="V37:V38"/>
    <mergeCell ref="W37:Z38"/>
    <mergeCell ref="AA37:AA38"/>
    <mergeCell ref="AB37:AB38"/>
    <mergeCell ref="AC37:AC38"/>
    <mergeCell ref="AD37:AD38"/>
    <mergeCell ref="AF34:AJ34"/>
    <mergeCell ref="AF35:AF36"/>
    <mergeCell ref="AG35:AJ36"/>
    <mergeCell ref="AK35:AK36"/>
    <mergeCell ref="AL35:AL36"/>
    <mergeCell ref="AM35:AM36"/>
    <mergeCell ref="AN35:AN36"/>
    <mergeCell ref="AF37:AF38"/>
    <mergeCell ref="AG37:AJ38"/>
    <mergeCell ref="AK37:AK38"/>
    <mergeCell ref="AL37:AL38"/>
    <mergeCell ref="AM37:AM38"/>
    <mergeCell ref="AN37:AN38"/>
    <mergeCell ref="C50:F50"/>
    <mergeCell ref="C51:F51"/>
    <mergeCell ref="C41:F41"/>
    <mergeCell ref="C42:F42"/>
    <mergeCell ref="C43:F43"/>
    <mergeCell ref="C44:F44"/>
    <mergeCell ref="C45:F45"/>
    <mergeCell ref="C46:F46"/>
    <mergeCell ref="C47:F47"/>
    <mergeCell ref="C48:F48"/>
    <mergeCell ref="C49:F49"/>
  </mergeCells>
  <pageMargins left="0.7" right="0.7" top="0.75" bottom="0.75" header="0.3" footer="0.3"/>
  <pageSetup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16"/>
  <sheetViews>
    <sheetView workbookViewId="0">
      <selection activeCell="J2" sqref="J2"/>
    </sheetView>
  </sheetViews>
  <sheetFormatPr defaultRowHeight="15" x14ac:dyDescent="0.25"/>
  <cols>
    <col min="3" max="4" width="6.7109375" customWidth="1"/>
    <col min="7" max="7" width="64.7109375" bestFit="1" customWidth="1"/>
    <col min="9" max="9" width="22.5703125" bestFit="1" customWidth="1"/>
    <col min="12" max="17" width="6.7109375" customWidth="1"/>
    <col min="18" max="22" width="9.140625" customWidth="1"/>
  </cols>
  <sheetData>
    <row r="1" spans="1:22" x14ac:dyDescent="0.25">
      <c r="A1" s="9" t="s">
        <v>37</v>
      </c>
      <c r="B1" s="9" t="s">
        <v>56</v>
      </c>
      <c r="C1" s="135" t="s">
        <v>38</v>
      </c>
      <c r="D1" s="135"/>
      <c r="E1" s="9" t="s">
        <v>56</v>
      </c>
      <c r="F1" s="9" t="s">
        <v>39</v>
      </c>
      <c r="J1" s="20" t="s">
        <v>57</v>
      </c>
      <c r="K1" s="21"/>
      <c r="L1" s="20" t="str">
        <f>I2</f>
        <v>0 ()</v>
      </c>
      <c r="M1" s="20" t="str">
        <f>I3</f>
        <v>0 ()</v>
      </c>
      <c r="N1" s="20" t="str">
        <f>I4</f>
        <v>0 ()</v>
      </c>
      <c r="O1" s="20" t="str">
        <f>I5</f>
        <v>0 ()</v>
      </c>
      <c r="P1" s="20" t="str">
        <f>I6</f>
        <v>0 ()</v>
      </c>
      <c r="Q1" s="20" t="str">
        <f>I7</f>
        <v>0 ()</v>
      </c>
      <c r="R1" s="15" t="s">
        <v>58</v>
      </c>
      <c r="S1" s="9"/>
      <c r="T1" s="9"/>
      <c r="U1" s="9"/>
      <c r="V1" s="9"/>
    </row>
    <row r="2" spans="1:22" x14ac:dyDescent="0.25">
      <c r="A2" s="1" t="str">
        <f ca="1">'Grupa B'!M7</f>
        <v xml:space="preserve"> ()</v>
      </c>
      <c r="B2" s="2" t="str">
        <f>IF(C2="","",IF(C2&gt;D2,"W",IF(C2&lt;D2,"L","D")))</f>
        <v/>
      </c>
      <c r="C2" s="1" t="str">
        <f>IF('Grupa B'!N7="","",'Grupa B'!N7)</f>
        <v/>
      </c>
      <c r="D2" s="19" t="str">
        <f>IF('Grupa B'!O7="","",'Grupa B'!O7)</f>
        <v/>
      </c>
      <c r="E2" s="50" t="str">
        <f>IF(D2="","",IF(D2&gt;C2,"W",IF(D2&lt;C2,"L","D")))</f>
        <v/>
      </c>
      <c r="F2" s="19" t="str">
        <f ca="1">'Grupa B'!P7</f>
        <v xml:space="preserve"> ()</v>
      </c>
      <c r="G2" t="str">
        <f ca="1">CONCATENATE(A2,F2,IF(B2="","",IF(B2="W",A2,IF(B2="L",F2,"D"))))</f>
        <v xml:space="preserve"> () ()</v>
      </c>
      <c r="I2" s="1" t="str">
        <f>'Rangiranje B'!A3</f>
        <v>0 ()</v>
      </c>
      <c r="J2" s="9">
        <f ca="1">'Rangiranje B'!J3</f>
        <v>0</v>
      </c>
      <c r="K2" s="9">
        <f ca="1">COUNTIF($J$2:$J$7,J2)</f>
        <v>6</v>
      </c>
      <c r="L2" s="22"/>
      <c r="M2" s="9">
        <f ca="1">IF($J2=$J3,(COUNTIF($G:$G,CONCATENATE($I2,$I3,$I2))+COUNTIF($G:$G,CONCATENATE($I3,$I2,$I2)))*3+COUNTIF($G:$G,CONCATENATE($I2,$I3,"D"))+COUNTIF($G:$G,CONCATENATE($I3,$I2,"D")),"")</f>
        <v>0</v>
      </c>
      <c r="N2" s="9">
        <f ca="1">IF($J2=$J4,(COUNTIF($G:$G,CONCATENATE($I2,$I4,$I2))+COUNTIF($G:$G,CONCATENATE($I4,$I2,$I2)))*3+COUNTIF($G:$G,CONCATENATE($I2,$I4,"D"))+COUNTIF($G:$G,CONCATENATE($I4,$I2,"D")),"")</f>
        <v>0</v>
      </c>
      <c r="O2" s="9">
        <f ca="1">IF($J2=$J5,(COUNTIF($G:$G,CONCATENATE($I2,$I5,$I2))+COUNTIF($G:$G,CONCATENATE($I5,$I2,$I2)))*3+COUNTIF($G:$G,CONCATENATE($I2,$I5,"D"))+COUNTIF($G:$G,CONCATENATE($I5,$I2,"D")),"")</f>
        <v>0</v>
      </c>
      <c r="P2" s="9">
        <f ca="1">IF($J2=$J6,(COUNTIF($G:$G,CONCATENATE($I2,$I6,$I2))+COUNTIF($G:$G,CONCATENATE($I6,$I2,$I2)))*3+COUNTIF($G:$G,CONCATENATE($I2,$I6,"D"))+COUNTIF($G:$G,CONCATENATE($I6,$I2,"D")),"")</f>
        <v>0</v>
      </c>
      <c r="Q2" s="9">
        <f ca="1">IF($J2=$J7,(COUNTIF($G:$G,CONCATENATE($I2,$I7,$I2))+COUNTIF($G:$G,CONCATENATE($I7,$I2,$I2)))*3+COUNTIF($G:$G,CONCATENATE($I2,$I7,"D"))+COUNTIF($G:$G,CONCATENATE($I7,$I2,"D")),"")</f>
        <v>0</v>
      </c>
      <c r="R2" s="9">
        <f t="shared" ref="R2:R7" ca="1" si="0">SUM(L2:Q2)</f>
        <v>0</v>
      </c>
    </row>
    <row r="3" spans="1:22" x14ac:dyDescent="0.25">
      <c r="A3" s="1" t="str">
        <f ca="1">'Grupa B'!M8</f>
        <v/>
      </c>
      <c r="B3" s="2" t="str">
        <f t="shared" ref="B3:B16" si="1">IF(C3="","",IF(C3&gt;D3,"W",IF(C3&lt;D3,"L","D")))</f>
        <v/>
      </c>
      <c r="C3" s="1" t="str">
        <f>IF('Grupa B'!N8="","",'Grupa B'!N8)</f>
        <v/>
      </c>
      <c r="D3" s="19" t="str">
        <f>IF('Grupa B'!O8="","",'Grupa B'!O8)</f>
        <v/>
      </c>
      <c r="E3" s="9" t="str">
        <f t="shared" ref="E3:E16" si="2">IF(D3="","",IF(D3&gt;C3,"W",IF(D3&lt;C3,"L","D")))</f>
        <v/>
      </c>
      <c r="F3" s="19" t="str">
        <f ca="1">'Grupa B'!P8</f>
        <v/>
      </c>
      <c r="G3" t="str">
        <f t="shared" ref="G3:G16" ca="1" si="3">CONCATENATE(A3,F3,IF(B3="","",IF(B3="W",A3,IF(B3="L",F3,"D"))))</f>
        <v/>
      </c>
      <c r="I3" s="1" t="str">
        <f>'Rangiranje B'!A4</f>
        <v>0 ()</v>
      </c>
      <c r="J3" s="124">
        <f ca="1">'Rangiranje B'!J4</f>
        <v>0</v>
      </c>
      <c r="K3" s="9">
        <f t="shared" ref="K3:K7" ca="1" si="4">COUNTIF($J$2:$J$7,J3)</f>
        <v>6</v>
      </c>
      <c r="L3" s="9">
        <f ca="1">IF($J3=$J2,(COUNTIF($G:$G,CONCATENATE($I3,$I2,$I3))+COUNTIF($G:$G,CONCATENATE($I2,$I3,$I3)))*3+COUNTIF($G:$G,CONCATENATE($I3,$I2,"D"))+COUNTIF($G:$G,CONCATENATE($I2,$I3,"D")),"")</f>
        <v>0</v>
      </c>
      <c r="M3" s="22"/>
      <c r="N3" s="9">
        <f ca="1">IF($J3=$J4,(COUNTIF($G:$G,CONCATENATE($I3,$I4,$I3))+COUNTIF($G:$G,CONCATENATE($I4,$I3,$I3)))*3+COUNTIF($G:$G,CONCATENATE($I3,$I4,"D"))+COUNTIF($G:$G,CONCATENATE($I4,$I3,"D")),"")</f>
        <v>0</v>
      </c>
      <c r="O3" s="9">
        <f ca="1">IF($J3=$J5,(COUNTIF($G:$G,CONCATENATE($I3,$I5,$I3))+COUNTIF($G:$G,CONCATENATE($I5,$I3,$I3)))*3+COUNTIF($G:$G,CONCATENATE($I3,$I5,"D"))+COUNTIF($G:$G,CONCATENATE($I5,$I3,"D")),"")</f>
        <v>0</v>
      </c>
      <c r="P3" s="9">
        <f ca="1">IF($J3=$J6,(COUNTIF($G:$G,CONCATENATE($I3,$I6,$I3))+COUNTIF($G:$G,CONCATENATE($I6,$I3,$I3)))*3+COUNTIF($G:$G,CONCATENATE($I3,$I6,"D"))+COUNTIF($G:$G,CONCATENATE($I6,$I3,"D")),"")</f>
        <v>0</v>
      </c>
      <c r="Q3" s="9">
        <f ca="1">IF($J3=$J7,(COUNTIF($G:$G,CONCATENATE($I3,$I7,$I3))+COUNTIF($G:$G,CONCATENATE($I7,$I3,$I3)))*3+COUNTIF($G:$G,CONCATENATE($I3,$I7,"D"))+COUNTIF($G:$G,CONCATENATE($I7,$I3,"D")),"")</f>
        <v>0</v>
      </c>
      <c r="R3" s="9">
        <f t="shared" ca="1" si="0"/>
        <v>0</v>
      </c>
    </row>
    <row r="4" spans="1:22" x14ac:dyDescent="0.25">
      <c r="A4" s="1" t="str">
        <f ca="1">'Grupa B'!M9</f>
        <v/>
      </c>
      <c r="B4" s="2" t="str">
        <f t="shared" si="1"/>
        <v/>
      </c>
      <c r="C4" s="1" t="str">
        <f>IF('Grupa B'!N9="","",'Grupa B'!N9)</f>
        <v/>
      </c>
      <c r="D4" s="19" t="str">
        <f>IF('Grupa B'!O9="","",'Grupa B'!O9)</f>
        <v/>
      </c>
      <c r="E4" s="50" t="str">
        <f t="shared" si="2"/>
        <v/>
      </c>
      <c r="F4" s="19" t="str">
        <f ca="1">'Grupa B'!P9</f>
        <v/>
      </c>
      <c r="G4" t="str">
        <f t="shared" ca="1" si="3"/>
        <v/>
      </c>
      <c r="I4" s="1" t="str">
        <f>'Rangiranje B'!A5</f>
        <v>0 ()</v>
      </c>
      <c r="J4" s="124">
        <f ca="1">'Rangiranje B'!J5</f>
        <v>0</v>
      </c>
      <c r="K4" s="9">
        <f t="shared" ca="1" si="4"/>
        <v>6</v>
      </c>
      <c r="L4" s="9">
        <f ca="1">IF($J4=$J2,(COUNTIF($G:$G,CONCATENATE($I4,$I2,$I4))+COUNTIF($G:$G,CONCATENATE($I2,$I4,$I4)))*3+COUNTIF($G:$G,CONCATENATE($I4,$I2,"D"))+COUNTIF($G:$G,CONCATENATE($I2,$I4,"D")),"")</f>
        <v>0</v>
      </c>
      <c r="M4" s="9">
        <f ca="1">IF($J4=$J3,(COUNTIF($G:$G,CONCATENATE($I4,$I3,$I4))+COUNTIF($G:$G,CONCATENATE($I3,$I4,$I4)))*3+COUNTIF($G:$G,CONCATENATE($I4,$I3,"D"))+COUNTIF($G:$G,CONCATENATE($I3,$I4,"D")),"")</f>
        <v>0</v>
      </c>
      <c r="N4" s="23"/>
      <c r="O4" s="9">
        <f ca="1">IF($J4=$J5,(COUNTIF($G:$G,CONCATENATE($I4,$I5,$I4))+COUNTIF($G:$G,CONCATENATE($I5,$I4,$I4)))*3+COUNTIF($G:$G,CONCATENATE($I4,$I5,"D"))+COUNTIF($G:$G,CONCATENATE($I5,$I4,"D")),"")</f>
        <v>0</v>
      </c>
      <c r="P4" s="9">
        <f ca="1">IF($J4=$J6,(COUNTIF($G:$G,CONCATENATE($I4,$I6,$I4))+COUNTIF($G:$G,CONCATENATE($I6,$I4,$I4)))*3+COUNTIF($G:$G,CONCATENATE($I4,$I6,"D"))+COUNTIF($G:$G,CONCATENATE($I6,$I4,"D")),"")</f>
        <v>0</v>
      </c>
      <c r="Q4" s="9">
        <f ca="1">IF($J4=$J7,(COUNTIF($G:$G,CONCATENATE($I4,$I7,$I4))+COUNTIF($G:$G,CONCATENATE($I7,$I4,$I4)))*3+COUNTIF($G:$G,CONCATENATE($I4,$I7,"D"))+COUNTIF($G:$G,CONCATENATE($I7,$I4,"D")),"")</f>
        <v>0</v>
      </c>
      <c r="R4" s="9">
        <f t="shared" ca="1" si="0"/>
        <v>0</v>
      </c>
    </row>
    <row r="5" spans="1:22" x14ac:dyDescent="0.25">
      <c r="A5" s="1" t="str">
        <f ca="1">'Grupa B'!M10</f>
        <v/>
      </c>
      <c r="B5" s="2" t="str">
        <f t="shared" si="1"/>
        <v/>
      </c>
      <c r="C5" s="1" t="str">
        <f>IF('Grupa B'!N10="","",'Grupa B'!N10)</f>
        <v/>
      </c>
      <c r="D5" s="19" t="str">
        <f>IF('Grupa B'!O10="","",'Grupa B'!O10)</f>
        <v/>
      </c>
      <c r="E5" s="9" t="str">
        <f t="shared" si="2"/>
        <v/>
      </c>
      <c r="F5" s="19" t="str">
        <f ca="1">'Grupa B'!P10</f>
        <v/>
      </c>
      <c r="G5" t="str">
        <f t="shared" ca="1" si="3"/>
        <v/>
      </c>
      <c r="I5" s="1" t="str">
        <f>'Rangiranje B'!A6</f>
        <v>0 ()</v>
      </c>
      <c r="J5" s="124">
        <f ca="1">'Rangiranje B'!J6</f>
        <v>0</v>
      </c>
      <c r="K5" s="9">
        <f t="shared" ca="1" si="4"/>
        <v>6</v>
      </c>
      <c r="L5" s="9">
        <f ca="1">IF($J5=$J2,(COUNTIF($G:$G,CONCATENATE($I5,$I2,$I5))+COUNTIF($G:$G,CONCATENATE($I2,$I5,$I5)))*3+COUNTIF($G:$G,CONCATENATE($I5,$I2,"D"))+COUNTIF($G:$G,CONCATENATE($I2,$I5,"D")),"")</f>
        <v>0</v>
      </c>
      <c r="M5" s="9">
        <f ca="1">IF($J5=$J3,(COUNTIF($G:$G,CONCATENATE($I5,$I3,$I5))+COUNTIF($G:$G,CONCATENATE($I3,$I5,$I5)))*3+COUNTIF($G:$G,CONCATENATE($I5,$I3,"D"))+COUNTIF($G:$G,CONCATENATE($I3,$I5,"D")),"")</f>
        <v>0</v>
      </c>
      <c r="N5" s="9">
        <f ca="1">IF($J5=$J4,(COUNTIF($G:$G,CONCATENATE($I5,$I4,$I5))+COUNTIF($G:$G,CONCATENATE($I4,$I5,$I5)))*3+COUNTIF($G:$G,CONCATENATE($I5,$I4,"D"))+COUNTIF($G:$G,CONCATENATE($I4,$I5,"D")),"")</f>
        <v>0</v>
      </c>
      <c r="O5" s="23"/>
      <c r="P5" s="9">
        <f ca="1">IF($J5=$J6,(COUNTIF($G:$G,CONCATENATE($I5,$I6,$I5))+COUNTIF($G:$G,CONCATENATE($I6,$I5,$I5)))*3+COUNTIF($G:$G,CONCATENATE($I5,$I6,"D"))+COUNTIF($G:$G,CONCATENATE($I6,$I5,"D")),"")</f>
        <v>0</v>
      </c>
      <c r="Q5" s="9">
        <f ca="1">IF($J5=$J7,(COUNTIF($G:$G,CONCATENATE($I5,$I7,$I5))+COUNTIF($G:$G,CONCATENATE($I7,$I5,$I5)))*3+COUNTIF($G:$G,CONCATENATE($I5,$I7,"D"))+COUNTIF($G:$G,CONCATENATE($I7,$I5,"D")),"")</f>
        <v>0</v>
      </c>
      <c r="R5" s="9">
        <f t="shared" ca="1" si="0"/>
        <v>0</v>
      </c>
    </row>
    <row r="6" spans="1:22" x14ac:dyDescent="0.25">
      <c r="A6" s="1" t="str">
        <f ca="1">'Grupa B'!M11</f>
        <v/>
      </c>
      <c r="B6" s="2" t="str">
        <f t="shared" si="1"/>
        <v/>
      </c>
      <c r="C6" s="1" t="str">
        <f>IF('Grupa B'!N11="","",'Grupa B'!N11)</f>
        <v/>
      </c>
      <c r="D6" s="19" t="str">
        <f>IF('Grupa B'!O11="","",'Grupa B'!O11)</f>
        <v/>
      </c>
      <c r="E6" s="9" t="str">
        <f t="shared" si="2"/>
        <v/>
      </c>
      <c r="F6" s="19" t="str">
        <f ca="1">'Grupa B'!P11</f>
        <v/>
      </c>
      <c r="G6" t="str">
        <f t="shared" ca="1" si="3"/>
        <v/>
      </c>
      <c r="I6" s="49" t="str">
        <f>'Rangiranje B'!A7</f>
        <v>0 ()</v>
      </c>
      <c r="J6" s="124">
        <f ca="1">'Rangiranje B'!J7</f>
        <v>0</v>
      </c>
      <c r="K6" s="9">
        <f t="shared" ca="1" si="4"/>
        <v>6</v>
      </c>
      <c r="L6" s="9">
        <f ca="1">IF($J6=$J2,(COUNTIF($G:$G,CONCATENATE($I6,$I2,$I6))+COUNTIF($G:$G,CONCATENATE($I2,$I6,$I6)))*3+COUNTIF($G:$G,CONCATENATE($I6,$I2,"D"))+COUNTIF($G:$G,CONCATENATE($I2,$I6,"D")),"")</f>
        <v>0</v>
      </c>
      <c r="M6" s="9">
        <f ca="1">IF($J6=$J3,(COUNTIF($G:$G,CONCATENATE($I6,$I3,$I6))+COUNTIF($G:$G,CONCATENATE($I3,$I6,$I6)))*3+COUNTIF($G:$G,CONCATENATE($I6,$I3,"D"))+COUNTIF($G:$G,CONCATENATE($I3,$I6,"D")),"")</f>
        <v>0</v>
      </c>
      <c r="N6" s="9">
        <f ca="1">IF($J6=$J4,(COUNTIF($G:$G,CONCATENATE($I6,$I4,$I6))+COUNTIF($G:$G,CONCATENATE($I4,$I6,$I6)))*3+COUNTIF($G:$G,CONCATENATE($I6,$I4,"D"))+COUNTIF($G:$G,CONCATENATE($I4,$I6,"D")),"")</f>
        <v>0</v>
      </c>
      <c r="O6" s="9">
        <f ca="1">IF($J6=$J5,(COUNTIF($G:$G,CONCATENATE($I6,$I5,$I6))+COUNTIF($G:$G,CONCATENATE($I5,$I6,$I6)))*3+COUNTIF($G:$G,CONCATENATE($I6,$I5,"D"))+COUNTIF($G:$G,CONCATENATE($I5,$I6,"D")),"")</f>
        <v>0</v>
      </c>
      <c r="P6" s="23"/>
      <c r="Q6" s="9">
        <f ca="1">IF($J6=$J7,(COUNTIF($G:$G,CONCATENATE($I6,$I7,$I6))+COUNTIF($G:$G,CONCATENATE($I7,$I6,$I6)))*3+COUNTIF($G:$G,CONCATENATE($I6,$I7,"D"))+COUNTIF($G:$G,CONCATENATE($I7,$I6,"D")),"")</f>
        <v>0</v>
      </c>
      <c r="R6" s="9">
        <f t="shared" ca="1" si="0"/>
        <v>0</v>
      </c>
    </row>
    <row r="7" spans="1:22" x14ac:dyDescent="0.25">
      <c r="A7" s="1" t="str">
        <f ca="1">'Grupa B'!M12</f>
        <v/>
      </c>
      <c r="B7" s="2" t="str">
        <f t="shared" si="1"/>
        <v/>
      </c>
      <c r="C7" s="1" t="str">
        <f>IF('Grupa B'!N12="","",'Grupa B'!N12)</f>
        <v/>
      </c>
      <c r="D7" s="19" t="str">
        <f>IF('Grupa B'!O12="","",'Grupa B'!O12)</f>
        <v/>
      </c>
      <c r="E7" s="9" t="str">
        <f t="shared" si="2"/>
        <v/>
      </c>
      <c r="F7" s="19" t="str">
        <f ca="1">'Grupa B'!P12</f>
        <v/>
      </c>
      <c r="G7" t="str">
        <f t="shared" ca="1" si="3"/>
        <v/>
      </c>
      <c r="I7" s="1" t="str">
        <f>'Rangiranje B'!A8</f>
        <v>0 ()</v>
      </c>
      <c r="J7" s="124">
        <f ca="1">'Rangiranje B'!J8</f>
        <v>0</v>
      </c>
      <c r="K7" s="9">
        <f t="shared" ca="1" si="4"/>
        <v>6</v>
      </c>
      <c r="L7" s="9">
        <f ca="1">IF($J7=$J2,(COUNTIF($G:$G,CONCATENATE($I7,$I2,$I7))+COUNTIF($G:$G,CONCATENATE($I2,$I7,$I7)))*3+COUNTIF($G:$G,CONCATENATE($I7,$I2,"D"))+COUNTIF($G:$G,CONCATENATE($I2,$I7,"D")),"")</f>
        <v>0</v>
      </c>
      <c r="M7" s="9">
        <f ca="1">IF($J7=$J3,(COUNTIF($G:$G,CONCATENATE($I7,$I3,$I7))+COUNTIF($G:$G,CONCATENATE($I3,$I7,$I7)))*3+COUNTIF($G:$G,CONCATENATE($I7,$I3,"D"))+COUNTIF($G:$G,CONCATENATE($I3,$I7,"D")),"")</f>
        <v>0</v>
      </c>
      <c r="N7" s="9">
        <f ca="1">IF($J7=$J4,(COUNTIF($G:$G,CONCATENATE($I7,$I4,$I7))+COUNTIF($G:$G,CONCATENATE($I4,$I7,$I7)))*3+COUNTIF($G:$G,CONCATENATE($I7,$I4,"D"))+COUNTIF($G:$G,CONCATENATE($I4,$I7,"D")),"")</f>
        <v>0</v>
      </c>
      <c r="O7" s="9">
        <f ca="1">IF($J7=$J5,(COUNTIF($G:$G,CONCATENATE($I7,$I5,$I7))+COUNTIF($G:$G,CONCATENATE($I5,$I7,$I7)))*3+COUNTIF($G:$G,CONCATENATE($I7,$I5,"D"))+COUNTIF($G:$G,CONCATENATE($I5,$I7,"D")),"")</f>
        <v>0</v>
      </c>
      <c r="P7" s="9">
        <f ca="1">IF($J7=$J6,(COUNTIF($G:$G,CONCATENATE($I7,$I6,$I7))+COUNTIF($G:$G,CONCATENATE($I6,$I7,$I7)))*3+COUNTIF($G:$G,CONCATENATE($I7,$I6,"D"))+COUNTIF($G:$G,CONCATENATE($I6,$I7,"D")),"")</f>
        <v>0</v>
      </c>
      <c r="Q7" s="23"/>
      <c r="R7" s="9">
        <f t="shared" ca="1" si="0"/>
        <v>0</v>
      </c>
    </row>
    <row r="8" spans="1:22" x14ac:dyDescent="0.25">
      <c r="A8" s="1" t="str">
        <f ca="1">'Grupa B'!M13</f>
        <v/>
      </c>
      <c r="B8" s="2" t="str">
        <f t="shared" si="1"/>
        <v/>
      </c>
      <c r="C8" s="1" t="str">
        <f>IF('Grupa B'!N13="","",'Grupa B'!N13)</f>
        <v/>
      </c>
      <c r="D8" s="19" t="str">
        <f>IF('Grupa B'!O13="","",'Grupa B'!O13)</f>
        <v/>
      </c>
      <c r="E8" s="9" t="str">
        <f t="shared" si="2"/>
        <v/>
      </c>
      <c r="F8" s="19" t="str">
        <f ca="1">'Grupa B'!P13</f>
        <v/>
      </c>
      <c r="G8" t="str">
        <f t="shared" ca="1" si="3"/>
        <v/>
      </c>
    </row>
    <row r="9" spans="1:22" x14ac:dyDescent="0.25">
      <c r="A9" s="1" t="str">
        <f ca="1">'Grupa B'!M14</f>
        <v/>
      </c>
      <c r="B9" s="2" t="str">
        <f t="shared" si="1"/>
        <v/>
      </c>
      <c r="C9" s="1" t="str">
        <f>IF('Grupa B'!N14="","",'Grupa B'!N14)</f>
        <v/>
      </c>
      <c r="D9" s="19" t="str">
        <f>IF('Grupa B'!O14="","",'Grupa B'!O14)</f>
        <v/>
      </c>
      <c r="E9" s="9" t="str">
        <f t="shared" si="2"/>
        <v/>
      </c>
      <c r="F9" s="19" t="str">
        <f ca="1">'Grupa B'!P14</f>
        <v/>
      </c>
      <c r="G9" t="str">
        <f t="shared" ca="1" si="3"/>
        <v/>
      </c>
    </row>
    <row r="10" spans="1:22" x14ac:dyDescent="0.25">
      <c r="A10" s="1" t="str">
        <f ca="1">'Grupa B'!M15</f>
        <v/>
      </c>
      <c r="B10" s="2" t="str">
        <f t="shared" si="1"/>
        <v/>
      </c>
      <c r="C10" s="1" t="str">
        <f>IF('Grupa B'!N15="","",'Grupa B'!N15)</f>
        <v/>
      </c>
      <c r="D10" s="19" t="str">
        <f>IF('Grupa B'!O15="","",'Grupa B'!O15)</f>
        <v/>
      </c>
      <c r="E10" s="9" t="str">
        <f t="shared" si="2"/>
        <v/>
      </c>
      <c r="F10" s="19" t="str">
        <f ca="1">'Grupa B'!P15</f>
        <v/>
      </c>
      <c r="G10" t="str">
        <f t="shared" ca="1" si="3"/>
        <v/>
      </c>
    </row>
    <row r="11" spans="1:22" x14ac:dyDescent="0.25">
      <c r="A11" s="1" t="str">
        <f ca="1">'Grupa B'!M16</f>
        <v/>
      </c>
      <c r="B11" s="2" t="str">
        <f t="shared" si="1"/>
        <v/>
      </c>
      <c r="C11" s="1" t="str">
        <f>IF('Grupa B'!N16="","",'Grupa B'!N16)</f>
        <v/>
      </c>
      <c r="D11" s="19" t="str">
        <f>IF('Grupa B'!O16="","",'Grupa B'!O16)</f>
        <v/>
      </c>
      <c r="E11" s="9" t="str">
        <f t="shared" si="2"/>
        <v/>
      </c>
      <c r="F11" s="19" t="str">
        <f ca="1">'Grupa B'!P16</f>
        <v/>
      </c>
      <c r="G11" t="str">
        <f t="shared" ca="1" si="3"/>
        <v/>
      </c>
    </row>
    <row r="12" spans="1:22" x14ac:dyDescent="0.25">
      <c r="A12" s="1" t="str">
        <f ca="1">'Grupa B'!M17</f>
        <v/>
      </c>
      <c r="B12" s="2" t="str">
        <f t="shared" si="1"/>
        <v/>
      </c>
      <c r="C12" s="1" t="str">
        <f>IF('Grupa B'!N17="","",'Grupa B'!N17)</f>
        <v/>
      </c>
      <c r="D12" s="19" t="str">
        <f>IF('Grupa B'!O17="","",'Grupa B'!O17)</f>
        <v/>
      </c>
      <c r="E12" s="9" t="str">
        <f t="shared" si="2"/>
        <v/>
      </c>
      <c r="F12" s="19" t="str">
        <f ca="1">'Grupa B'!P17</f>
        <v/>
      </c>
      <c r="G12" t="str">
        <f t="shared" ca="1" si="3"/>
        <v/>
      </c>
    </row>
    <row r="13" spans="1:22" x14ac:dyDescent="0.25">
      <c r="A13" s="1" t="str">
        <f ca="1">'Grupa B'!M18</f>
        <v/>
      </c>
      <c r="B13" s="2" t="str">
        <f t="shared" si="1"/>
        <v/>
      </c>
      <c r="C13" s="1" t="str">
        <f>IF('Grupa B'!N18="","",'Grupa B'!N18)</f>
        <v/>
      </c>
      <c r="D13" s="19" t="str">
        <f>IF('Grupa B'!O18="","",'Grupa B'!O18)</f>
        <v/>
      </c>
      <c r="E13" s="9" t="str">
        <f t="shared" si="2"/>
        <v/>
      </c>
      <c r="F13" s="19" t="str">
        <f ca="1">'Grupa B'!P18</f>
        <v/>
      </c>
      <c r="G13" t="str">
        <f t="shared" ca="1" si="3"/>
        <v/>
      </c>
    </row>
    <row r="14" spans="1:22" x14ac:dyDescent="0.25">
      <c r="A14" s="1" t="str">
        <f ca="1">'Grupa B'!M19</f>
        <v/>
      </c>
      <c r="B14" s="2" t="str">
        <f t="shared" si="1"/>
        <v/>
      </c>
      <c r="C14" s="1" t="str">
        <f>IF('Grupa B'!N19="","",'Grupa B'!N19)</f>
        <v/>
      </c>
      <c r="D14" s="19" t="str">
        <f>IF('Grupa B'!O19="","",'Grupa B'!O19)</f>
        <v/>
      </c>
      <c r="E14" s="9" t="str">
        <f t="shared" si="2"/>
        <v/>
      </c>
      <c r="F14" s="19" t="str">
        <f ca="1">'Grupa B'!P19</f>
        <v/>
      </c>
      <c r="G14" t="str">
        <f t="shared" ca="1" si="3"/>
        <v/>
      </c>
    </row>
    <row r="15" spans="1:22" x14ac:dyDescent="0.25">
      <c r="A15" s="1" t="str">
        <f ca="1">'Grupa B'!M20</f>
        <v/>
      </c>
      <c r="B15" s="2" t="str">
        <f t="shared" si="1"/>
        <v/>
      </c>
      <c r="C15" s="1" t="str">
        <f>IF('Grupa B'!N20="","",'Grupa B'!N20)</f>
        <v/>
      </c>
      <c r="D15" s="19" t="str">
        <f>IF('Grupa B'!O20="","",'Grupa B'!O20)</f>
        <v/>
      </c>
      <c r="E15" s="9" t="str">
        <f t="shared" si="2"/>
        <v/>
      </c>
      <c r="F15" s="19" t="str">
        <f ca="1">'Grupa B'!P20</f>
        <v/>
      </c>
      <c r="G15" t="str">
        <f t="shared" ca="1" si="3"/>
        <v/>
      </c>
    </row>
    <row r="16" spans="1:22" x14ac:dyDescent="0.25">
      <c r="A16" s="1" t="str">
        <f ca="1">'Grupa B'!M21</f>
        <v/>
      </c>
      <c r="B16" s="2" t="str">
        <f t="shared" si="1"/>
        <v/>
      </c>
      <c r="C16" s="1" t="str">
        <f>IF('Grupa B'!N21="","",'Grupa B'!N21)</f>
        <v/>
      </c>
      <c r="D16" s="19" t="str">
        <f>IF('Grupa B'!O21="","",'Grupa B'!O21)</f>
        <v/>
      </c>
      <c r="E16" s="9" t="str">
        <f t="shared" si="2"/>
        <v/>
      </c>
      <c r="F16" s="19" t="str">
        <f ca="1">'Grupa B'!P21</f>
        <v/>
      </c>
      <c r="G16" t="str">
        <f t="shared" ca="1" si="3"/>
        <v/>
      </c>
    </row>
  </sheetData>
  <mergeCells count="1">
    <mergeCell ref="C1:D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H1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8" sqref="A8"/>
    </sheetView>
  </sheetViews>
  <sheetFormatPr defaultRowHeight="15" x14ac:dyDescent="0.25"/>
  <cols>
    <col min="1" max="1" width="22.5703125" bestFit="1" customWidth="1"/>
    <col min="2" max="2" width="18.28515625" customWidth="1"/>
    <col min="3" max="26" width="6.7109375" customWidth="1"/>
    <col min="28" max="28" width="11.140625" style="2" bestFit="1" customWidth="1"/>
    <col min="29" max="29" width="11.140625" style="2" customWidth="1"/>
    <col min="30" max="30" width="10.7109375" style="2" bestFit="1" customWidth="1"/>
    <col min="31" max="31" width="10.42578125" style="2" bestFit="1" customWidth="1"/>
    <col min="32" max="32" width="10" style="2" bestFit="1" customWidth="1"/>
    <col min="33" max="33" width="10.7109375" style="2" bestFit="1" customWidth="1"/>
  </cols>
  <sheetData>
    <row r="1" spans="1:34" ht="15.75" thickBot="1" x14ac:dyDescent="0.3">
      <c r="C1" s="133" t="s">
        <v>48</v>
      </c>
      <c r="D1" s="133"/>
      <c r="E1" s="133"/>
      <c r="F1" s="133"/>
      <c r="G1" s="133"/>
      <c r="H1" s="133"/>
      <c r="I1" s="133"/>
      <c r="J1" s="134"/>
      <c r="K1" s="133" t="s">
        <v>37</v>
      </c>
      <c r="L1" s="133"/>
      <c r="M1" s="133"/>
      <c r="N1" s="133"/>
      <c r="O1" s="133"/>
      <c r="P1" s="133"/>
      <c r="Q1" s="133"/>
      <c r="R1" s="134"/>
      <c r="S1" s="133" t="s">
        <v>39</v>
      </c>
      <c r="T1" s="133"/>
      <c r="U1" s="133"/>
      <c r="V1" s="133"/>
      <c r="W1" s="133"/>
      <c r="X1" s="133"/>
      <c r="Y1" s="133"/>
      <c r="Z1" s="134"/>
    </row>
    <row r="2" spans="1:34" ht="15.75" thickBot="1" x14ac:dyDescent="0.3">
      <c r="A2" s="2" t="s">
        <v>47</v>
      </c>
      <c r="B2" s="2" t="s">
        <v>25</v>
      </c>
      <c r="C2" s="13" t="s">
        <v>27</v>
      </c>
      <c r="D2" s="13" t="s">
        <v>28</v>
      </c>
      <c r="E2" s="13" t="s">
        <v>29</v>
      </c>
      <c r="F2" s="13" t="s">
        <v>30</v>
      </c>
      <c r="G2" s="13" t="s">
        <v>31</v>
      </c>
      <c r="H2" s="13" t="s">
        <v>32</v>
      </c>
      <c r="I2" s="13" t="s">
        <v>33</v>
      </c>
      <c r="J2" s="13" t="s">
        <v>34</v>
      </c>
      <c r="K2" s="11" t="s">
        <v>27</v>
      </c>
      <c r="L2" s="10" t="s">
        <v>28</v>
      </c>
      <c r="M2" s="10" t="s">
        <v>29</v>
      </c>
      <c r="N2" s="10" t="s">
        <v>30</v>
      </c>
      <c r="O2" s="10" t="s">
        <v>31</v>
      </c>
      <c r="P2" s="10" t="s">
        <v>32</v>
      </c>
      <c r="Q2" s="10" t="s">
        <v>33</v>
      </c>
      <c r="R2" s="12" t="s">
        <v>34</v>
      </c>
      <c r="S2" s="11" t="s">
        <v>27</v>
      </c>
      <c r="T2" s="10" t="s">
        <v>28</v>
      </c>
      <c r="U2" s="10" t="s">
        <v>29</v>
      </c>
      <c r="V2" s="10" t="s">
        <v>30</v>
      </c>
      <c r="W2" s="10" t="s">
        <v>31</v>
      </c>
      <c r="X2" s="10" t="s">
        <v>32</v>
      </c>
      <c r="Y2" s="10" t="s">
        <v>33</v>
      </c>
      <c r="Z2" s="12" t="s">
        <v>34</v>
      </c>
      <c r="AB2" s="5" t="s">
        <v>49</v>
      </c>
      <c r="AC2" s="5" t="s">
        <v>50</v>
      </c>
      <c r="AD2" s="5" t="s">
        <v>51</v>
      </c>
      <c r="AE2" s="5" t="s">
        <v>52</v>
      </c>
      <c r="AF2" s="5" t="s">
        <v>53</v>
      </c>
      <c r="AG2" s="5" t="s">
        <v>54</v>
      </c>
      <c r="AH2" s="5" t="s">
        <v>55</v>
      </c>
    </row>
    <row r="3" spans="1:34" ht="16.5" thickTop="1" thickBot="1" x14ac:dyDescent="0.3">
      <c r="A3" s="1" t="str">
        <f>IF(Timovi!E4&lt;&gt;"",Timovi!E4,0) &amp; " " &amp; "("&amp;Timovi!F4&amp;")"</f>
        <v>0 ()</v>
      </c>
      <c r="B3" s="2">
        <f ca="1">(AB3&amp;"."&amp;TEXT(AH3,"0")&amp;TEXT(AC3,"0")&amp;TEXT(AD3,"0")&amp;TEXT(AE3,"0")&amp;TEXT(AF3,"0")&amp;TEXT(AG3,"0"))+0</f>
        <v>1.111111</v>
      </c>
      <c r="C3" s="14">
        <f ca="1">SUM(D3:F3)</f>
        <v>0</v>
      </c>
      <c r="D3" s="14">
        <f t="shared" ref="D3:J8" ca="1" si="0">L3+T3</f>
        <v>0</v>
      </c>
      <c r="E3" s="14">
        <f t="shared" ca="1" si="0"/>
        <v>0</v>
      </c>
      <c r="F3" s="14">
        <f t="shared" ca="1" si="0"/>
        <v>0</v>
      </c>
      <c r="G3" s="14">
        <f t="shared" ca="1" si="0"/>
        <v>0</v>
      </c>
      <c r="H3" s="14">
        <f t="shared" ca="1" si="0"/>
        <v>0</v>
      </c>
      <c r="I3" s="14">
        <f t="shared" ca="1" si="0"/>
        <v>0</v>
      </c>
      <c r="J3" s="14">
        <f t="shared" ca="1" si="0"/>
        <v>0</v>
      </c>
      <c r="K3" s="16">
        <f ca="1">SUM(L3:N3)</f>
        <v>0</v>
      </c>
      <c r="L3" s="17">
        <f ca="1">SUMPRODUCT(('Grupa B'!$M$7:$M$21='Rangiranje B'!A3)*('Grupa B'!$N$7:$N$21&gt;'Grupa B'!$O$7:$O$21))+SUMPRODUCT(('Grupa B'!$R$7:$R$19='Rangiranje B'!A3)*('Grupa B'!$S$7:$S$19&gt;'Grupa B'!$T$7:$T$19))</f>
        <v>0</v>
      </c>
      <c r="M3" s="17">
        <f ca="1">SUMPRODUCT(('Grupa B'!$M$7:$M$21='Rangiranje B'!A3)*('Grupa B'!$N$7:$N$21='Grupa B'!$O$7:$O$21)*('Grupa B'!$N$7:$N$21&lt;&gt;""))</f>
        <v>0</v>
      </c>
      <c r="N3" s="17">
        <f ca="1">SUMPRODUCT(('Grupa B'!$M$7:$M$21='Rangiranje B'!A3)*('Grupa B'!$N$7:$N$21&lt;'Grupa B'!$O$7:$O$21))+SUMPRODUCT(('Grupa B'!$R$7:$R$19='Rangiranje B'!A3)*('Grupa B'!$S$7:$S$19&lt;'Grupa B'!$T$7:$T$19))</f>
        <v>0</v>
      </c>
      <c r="O3" s="17">
        <f ca="1">SUMIF('Grupa B'!$M$7:$M$21,'Rangiranje B'!A3,'Grupa B'!$N$7:$N$21)+SUMIF('Grupa B'!$R$7:$R$19,'Rangiranje B'!A3,'Grupa B'!$S$7:$S$19)</f>
        <v>0</v>
      </c>
      <c r="P3" s="17">
        <f ca="1">SUMIF('Grupa B'!$M$7:$M$21,'Rangiranje B'!A3,'Grupa B'!$O$7:$O$21)+SUMIF('Grupa B'!$R$7:$R$19,'Rangiranje B'!A3,'Grupa B'!$T$7:$T$19)</f>
        <v>0</v>
      </c>
      <c r="Q3" s="17">
        <f ca="1">O3-P3</f>
        <v>0</v>
      </c>
      <c r="R3" s="18">
        <f ca="1">L3*3+M3</f>
        <v>0</v>
      </c>
      <c r="S3" s="16">
        <f ca="1">SUM(T3:V3)</f>
        <v>0</v>
      </c>
      <c r="T3" s="17">
        <f ca="1">SUMPRODUCT(('Grupa B'!$P$7:$P$21='Rangiranje B'!A3)*('Grupa B'!$O$7:$O$21&gt;'Grupa B'!$N$7:$N$21))+SUMPRODUCT(('Grupa B'!$U$7:$U$19='Rangiranje B'!A3)*('Grupa B'!$T$7:$T$19&gt;'Grupa B'!$S$7:$S$19))</f>
        <v>0</v>
      </c>
      <c r="U3" s="17">
        <f ca="1">SUMPRODUCT(('Grupa B'!$P$7:$P$21='Rangiranje B'!A3)*('Grupa B'!$O$7:$O$21='Grupa B'!$N$7:$N$21)*('Grupa B'!$O$7:$O$21&lt;&gt;""))</f>
        <v>0</v>
      </c>
      <c r="V3" s="17">
        <f ca="1">SUMPRODUCT(('Grupa B'!$P$7:$P$21='Rangiranje B'!A3)*('Grupa B'!$O$7:$O$21&lt;'Grupa B'!$N$7:$N$21))+SUMPRODUCT(('Grupa B'!$U$7:$U$19='Rangiranje B'!A3)*('Grupa B'!$T$7:$T$19&lt;'Grupa B'!$S$7:$S$19))</f>
        <v>0</v>
      </c>
      <c r="W3" s="17">
        <f ca="1">SUMIF('Grupa B'!$P$7:$P$21,'Rangiranje B'!A3,'Grupa B'!$O$7:$O$21)+SUMIF('Grupa B'!$U$7:$U$19,'Rangiranje B'!A3,'Grupa B'!$T$7:$T$19)</f>
        <v>0</v>
      </c>
      <c r="X3" s="17">
        <f ca="1">SUMIF('Grupa B'!$P$7:$P$21,'Rangiranje B'!A3,'Grupa B'!$N$7:$N$21)+SUMIF('Grupa B'!$U$7:$U$19,'Rangiranje B'!A3,'Grupa B'!$S$7:$S$19)</f>
        <v>0</v>
      </c>
      <c r="Y3" s="17">
        <f ca="1">W3-X3</f>
        <v>0</v>
      </c>
      <c r="Z3" s="18">
        <f ca="1">T3*3+U3</f>
        <v>0</v>
      </c>
      <c r="AB3" s="2">
        <f ca="1">RANK(J3,$J$3:$J$8)</f>
        <v>1</v>
      </c>
      <c r="AC3" s="2">
        <f ca="1">RANK(AC10,$AC$10:$AC$15)</f>
        <v>1</v>
      </c>
      <c r="AD3" s="2">
        <f ca="1">RANK(I3,$I$3:$I$8)</f>
        <v>1</v>
      </c>
      <c r="AE3" s="2">
        <f ca="1">RANK(G3,$G$3:$G$8)</f>
        <v>1</v>
      </c>
      <c r="AF3" s="2">
        <f ca="1">RANK(D3,$D$3:$D$8)</f>
        <v>1</v>
      </c>
      <c r="AG3" s="2">
        <f ca="1">RANK(H3,$H$3:$H$8)</f>
        <v>1</v>
      </c>
      <c r="AH3" s="2">
        <f ca="1">RANK(C3,$C$3:$C$8)</f>
        <v>1</v>
      </c>
    </row>
    <row r="4" spans="1:34" ht="16.5" thickTop="1" thickBot="1" x14ac:dyDescent="0.3">
      <c r="A4" s="1" t="str">
        <f>IF(Timovi!E5&lt;&gt;"",Timovi!E5,0) &amp; " " &amp; "("&amp;Timovi!F5&amp;")"</f>
        <v>0 ()</v>
      </c>
      <c r="B4" s="2">
        <f t="shared" ref="B4:B8" ca="1" si="1">(AB4&amp;"."&amp;TEXT(AH4,"0")&amp;TEXT(AC4,"0")&amp;TEXT(AD4,"0")&amp;TEXT(AE4,"0")&amp;TEXT(AF4,"0")&amp;TEXT(AG4,"0"))+0</f>
        <v>1.111111</v>
      </c>
      <c r="C4" s="14">
        <f ca="1">SUM(D4:F4)</f>
        <v>0</v>
      </c>
      <c r="D4" s="14">
        <f t="shared" ca="1" si="0"/>
        <v>0</v>
      </c>
      <c r="E4" s="14">
        <f t="shared" ca="1" si="0"/>
        <v>0</v>
      </c>
      <c r="F4" s="14">
        <f t="shared" ca="1" si="0"/>
        <v>0</v>
      </c>
      <c r="G4" s="14">
        <f t="shared" ca="1" si="0"/>
        <v>0</v>
      </c>
      <c r="H4" s="14">
        <f ca="1">P4+X4</f>
        <v>0</v>
      </c>
      <c r="I4" s="14">
        <f t="shared" ca="1" si="0"/>
        <v>0</v>
      </c>
      <c r="J4" s="14">
        <f t="shared" ca="1" si="0"/>
        <v>0</v>
      </c>
      <c r="K4" s="16">
        <f t="shared" ref="K4:K8" ca="1" si="2">SUM(L4:N4)</f>
        <v>0</v>
      </c>
      <c r="L4" s="17">
        <f ca="1">SUMPRODUCT(('Grupa B'!$M$7:$M$21='Rangiranje B'!A4)*('Grupa B'!$N$7:$N$21&gt;'Grupa B'!$O$7:$O$21))+SUMPRODUCT(('Grupa B'!$R$7:$R$19='Rangiranje B'!A4)*('Grupa B'!$S$7:$S$19&gt;'Grupa B'!$T$7:$T$19))</f>
        <v>0</v>
      </c>
      <c r="M4" s="17">
        <f ca="1">SUMPRODUCT(('Grupa B'!$M$7:$M$21='Rangiranje B'!A4)*('Grupa B'!$N$7:$N$21='Grupa B'!$O$7:$O$21)*('Grupa B'!$N$7:$N$21&lt;&gt;""))</f>
        <v>0</v>
      </c>
      <c r="N4" s="17">
        <f ca="1">SUMPRODUCT(('Grupa B'!$M$7:$M$21='Rangiranje B'!A4)*('Grupa B'!$N$7:$N$21&lt;'Grupa B'!$O$7:$O$21))+SUMPRODUCT(('Grupa B'!$R$7:$R$19='Rangiranje B'!A4)*('Grupa B'!$S$7:$S$19&lt;'Grupa B'!$T$7:$T$19))</f>
        <v>0</v>
      </c>
      <c r="O4" s="17">
        <f ca="1">SUMIF('Grupa B'!$M$7:$M$21,'Rangiranje B'!A4,'Grupa B'!$N$7:$N$21)+SUMIF('Grupa B'!$R$7:$R$19,'Rangiranje B'!A4,'Grupa B'!$S$7:$S$19)</f>
        <v>0</v>
      </c>
      <c r="P4" s="17">
        <f ca="1">SUMIF('Grupa B'!$M$7:$M$21,'Rangiranje B'!A4,'Grupa B'!$O$7:$O$21)+SUMIF('Grupa B'!$R$7:$R$19,'Rangiranje B'!A4,'Grupa B'!$T$7:$T$19)</f>
        <v>0</v>
      </c>
      <c r="Q4" s="17">
        <f t="shared" ref="Q4:Q8" ca="1" si="3">O4-P4</f>
        <v>0</v>
      </c>
      <c r="R4" s="18">
        <f t="shared" ref="R4:R8" ca="1" si="4">L4*3+M4</f>
        <v>0</v>
      </c>
      <c r="S4" s="16">
        <f t="shared" ref="S4:S8" ca="1" si="5">SUM(T4:V4)</f>
        <v>0</v>
      </c>
      <c r="T4" s="17">
        <f ca="1">SUMPRODUCT(('Grupa B'!$P$7:$P$21='Rangiranje B'!A4)*('Grupa B'!$O$7:$O$21&gt;'Grupa B'!$N$7:$N$21))+SUMPRODUCT(('Grupa B'!$U$7:$U$19='Rangiranje B'!A4)*('Grupa B'!$T$7:$T$19&gt;'Grupa B'!$S$7:$S$19))</f>
        <v>0</v>
      </c>
      <c r="U4" s="17">
        <f ca="1">SUMPRODUCT(('Grupa B'!$P$7:$P$21='Rangiranje B'!A4)*('Grupa B'!$O$7:$O$21='Grupa B'!$N$7:$N$21)*('Grupa B'!$O$7:$O$21&lt;&gt;""))</f>
        <v>0</v>
      </c>
      <c r="V4" s="17">
        <f ca="1">SUMPRODUCT(('Grupa B'!$P$7:$P$21='Rangiranje B'!A4)*('Grupa B'!$O$7:$O$21&lt;'Grupa B'!$N$7:$N$21))+SUMPRODUCT(('Grupa B'!$U$7:$U$19='Rangiranje B'!A4)*('Grupa B'!$T$7:$T$19&lt;'Grupa B'!$S$7:$S$19))</f>
        <v>0</v>
      </c>
      <c r="W4" s="17">
        <f ca="1">SUMIF('Grupa B'!$P$7:$P$21,'Rangiranje B'!A4,'Grupa B'!$O$7:$O$21)+SUMIF('Grupa B'!$U$7:$U$19,'Rangiranje B'!A4,'Grupa B'!$T$7:$T$19)</f>
        <v>0</v>
      </c>
      <c r="X4" s="17">
        <f ca="1">SUMIF('Grupa B'!$P$7:$P$21,'Rangiranje B'!A4,'Grupa B'!$N$7:$N$21)+SUMIF('Grupa B'!$U$7:$U$19,'Rangiranje B'!A4,'Grupa B'!$S$7:$S$19)</f>
        <v>0</v>
      </c>
      <c r="Y4" s="17">
        <f t="shared" ref="Y4:Y8" ca="1" si="6">W4-X4</f>
        <v>0</v>
      </c>
      <c r="Z4" s="18">
        <f t="shared" ref="Z4:Z8" ca="1" si="7">T4*3+U4</f>
        <v>0</v>
      </c>
      <c r="AB4" s="2">
        <f t="shared" ref="AB4:AB8" ca="1" si="8">RANK(J4,$J$3:$J$8)</f>
        <v>1</v>
      </c>
      <c r="AC4" s="2">
        <f t="shared" ref="AC4:AC8" ca="1" si="9">RANK(AC11,$AC$10:$AC$15)</f>
        <v>1</v>
      </c>
      <c r="AD4" s="2">
        <f t="shared" ref="AD4:AD8" ca="1" si="10">RANK(I4,$I$3:$I$8)</f>
        <v>1</v>
      </c>
      <c r="AE4" s="2">
        <f t="shared" ref="AE4:AE8" ca="1" si="11">RANK(G4,$G$3:$G$8)</f>
        <v>1</v>
      </c>
      <c r="AF4" s="2">
        <f ca="1">RANK(D4,$D$3:$D$8)</f>
        <v>1</v>
      </c>
      <c r="AG4" s="2">
        <f t="shared" ref="AG4:AG8" ca="1" si="12">RANK(H4,$H$3:$H$8)</f>
        <v>1</v>
      </c>
      <c r="AH4" s="2">
        <f t="shared" ref="AH4:AH8" ca="1" si="13">RANK(C4,$C$3:$C$8)</f>
        <v>1</v>
      </c>
    </row>
    <row r="5" spans="1:34" ht="16.5" thickTop="1" thickBot="1" x14ac:dyDescent="0.3">
      <c r="A5" s="1" t="str">
        <f>IF(Timovi!E6&lt;&gt;"",Timovi!E6,0) &amp; " " &amp; "("&amp;Timovi!F6&amp;")"</f>
        <v>0 ()</v>
      </c>
      <c r="B5" s="2">
        <f t="shared" ca="1" si="1"/>
        <v>1.111111</v>
      </c>
      <c r="C5" s="14">
        <f t="shared" ref="C5:C7" ca="1" si="14">SUM(D5:F5)</f>
        <v>0</v>
      </c>
      <c r="D5" s="14">
        <f t="shared" ca="1" si="0"/>
        <v>0</v>
      </c>
      <c r="E5" s="14">
        <f t="shared" ca="1" si="0"/>
        <v>0</v>
      </c>
      <c r="F5" s="14">
        <f t="shared" ca="1" si="0"/>
        <v>0</v>
      </c>
      <c r="G5" s="14">
        <f t="shared" ca="1" si="0"/>
        <v>0</v>
      </c>
      <c r="H5" s="14">
        <f t="shared" ca="1" si="0"/>
        <v>0</v>
      </c>
      <c r="I5" s="14">
        <f t="shared" ca="1" si="0"/>
        <v>0</v>
      </c>
      <c r="J5" s="14">
        <f t="shared" ca="1" si="0"/>
        <v>0</v>
      </c>
      <c r="K5" s="16">
        <f t="shared" ca="1" si="2"/>
        <v>0</v>
      </c>
      <c r="L5" s="17">
        <f ca="1">SUMPRODUCT(('Grupa B'!$M$7:$M$21='Rangiranje B'!A5)*('Grupa B'!$N$7:$N$21&gt;'Grupa B'!$O$7:$O$21))+SUMPRODUCT(('Grupa B'!$R$7:$R$19='Rangiranje B'!A5)*('Grupa B'!$S$7:$S$19&gt;'Grupa B'!$T$7:$T$19))</f>
        <v>0</v>
      </c>
      <c r="M5" s="17">
        <f ca="1">SUMPRODUCT(('Grupa B'!$M$7:$M$21='Rangiranje B'!A5)*('Grupa B'!$N$7:$N$21='Grupa B'!$O$7:$O$21)*('Grupa B'!$N$7:$N$21&lt;&gt;""))</f>
        <v>0</v>
      </c>
      <c r="N5" s="17">
        <f ca="1">SUMPRODUCT(('Grupa B'!$M$7:$M$21='Rangiranje B'!A5)*('Grupa B'!$N$7:$N$21&lt;'Grupa B'!$O$7:$O$21))+SUMPRODUCT(('Grupa B'!$R$7:$R$19='Rangiranje B'!A5)*('Grupa B'!$S$7:$S$19&lt;'Grupa B'!$T$7:$T$19))</f>
        <v>0</v>
      </c>
      <c r="O5" s="17">
        <f ca="1">SUMIF('Grupa B'!$M$7:$M$21,'Rangiranje B'!A5,'Grupa B'!$N$7:$N$21)+SUMIF('Grupa B'!$R$7:$R$19,'Rangiranje B'!A5,'Grupa B'!$S$7:$S$19)</f>
        <v>0</v>
      </c>
      <c r="P5" s="17">
        <f ca="1">SUMIF('Grupa B'!$M$7:$M$21,'Rangiranje B'!A5,'Grupa B'!$O$7:$O$21)+SUMIF('Grupa B'!$R$7:$R$19,'Rangiranje B'!A5,'Grupa B'!$T$7:$T$19)</f>
        <v>0</v>
      </c>
      <c r="Q5" s="17">
        <f t="shared" ca="1" si="3"/>
        <v>0</v>
      </c>
      <c r="R5" s="18">
        <f t="shared" ca="1" si="4"/>
        <v>0</v>
      </c>
      <c r="S5" s="16">
        <f t="shared" ca="1" si="5"/>
        <v>0</v>
      </c>
      <c r="T5" s="17">
        <f ca="1">SUMPRODUCT(('Grupa B'!$P$7:$P$21='Rangiranje B'!A5)*('Grupa B'!$O$7:$O$21&gt;'Grupa B'!$N$7:$N$21))+SUMPRODUCT(('Grupa B'!$U$7:$U$19='Rangiranje B'!A5)*('Grupa B'!$T$7:$T$19&gt;'Grupa B'!$S$7:$S$19))</f>
        <v>0</v>
      </c>
      <c r="U5" s="17">
        <f ca="1">SUMPRODUCT(('Grupa B'!$P$7:$P$21='Rangiranje B'!A5)*('Grupa B'!$O$7:$O$21='Grupa B'!$N$7:$N$21)*('Grupa B'!$O$7:$O$21&lt;&gt;""))</f>
        <v>0</v>
      </c>
      <c r="V5" s="17">
        <f ca="1">SUMPRODUCT(('Grupa B'!$P$7:$P$21='Rangiranje B'!A5)*('Grupa B'!$O$7:$O$21&lt;'Grupa B'!$N$7:$N$21))+SUMPRODUCT(('Grupa B'!$U$7:$U$19='Rangiranje B'!A5)*('Grupa B'!$T$7:$T$19&lt;'Grupa B'!$S$7:$S$19))</f>
        <v>0</v>
      </c>
      <c r="W5" s="17">
        <f ca="1">SUMIF('Grupa B'!$P$7:$P$21,'Rangiranje B'!A5,'Grupa B'!$O$7:$O$21)+SUMIF('Grupa B'!$U$7:$U$19,'Rangiranje B'!A5,'Grupa B'!$T$7:$T$19)</f>
        <v>0</v>
      </c>
      <c r="X5" s="17">
        <f ca="1">SUMIF('Grupa B'!$P$7:$P$21,'Rangiranje B'!A5,'Grupa B'!$N$7:$N$21)+SUMIF('Grupa B'!$U$7:$U$19,'Rangiranje B'!A5,'Grupa B'!$S$7:$S$19)</f>
        <v>0</v>
      </c>
      <c r="Y5" s="17">
        <f t="shared" ca="1" si="6"/>
        <v>0</v>
      </c>
      <c r="Z5" s="18">
        <f t="shared" ca="1" si="7"/>
        <v>0</v>
      </c>
      <c r="AB5" s="2">
        <f t="shared" ca="1" si="8"/>
        <v>1</v>
      </c>
      <c r="AC5" s="2">
        <f t="shared" ca="1" si="9"/>
        <v>1</v>
      </c>
      <c r="AD5" s="2">
        <f t="shared" ca="1" si="10"/>
        <v>1</v>
      </c>
      <c r="AE5" s="2">
        <f t="shared" ca="1" si="11"/>
        <v>1</v>
      </c>
      <c r="AF5" s="2">
        <f t="shared" ref="AF5:AF8" ca="1" si="15">RANK(D5,$D$3:$D$8)</f>
        <v>1</v>
      </c>
      <c r="AG5" s="2">
        <f t="shared" ca="1" si="12"/>
        <v>1</v>
      </c>
      <c r="AH5" s="2">
        <f t="shared" ca="1" si="13"/>
        <v>1</v>
      </c>
    </row>
    <row r="6" spans="1:34" ht="16.5" thickTop="1" thickBot="1" x14ac:dyDescent="0.3">
      <c r="A6" s="1" t="str">
        <f>IF(Timovi!E7&lt;&gt;"",Timovi!E7,0) &amp; " " &amp; "("&amp;Timovi!F7&amp;")"</f>
        <v>0 ()</v>
      </c>
      <c r="B6" s="2">
        <f t="shared" ca="1" si="1"/>
        <v>1.111111</v>
      </c>
      <c r="C6" s="14">
        <f t="shared" ca="1" si="14"/>
        <v>0</v>
      </c>
      <c r="D6" s="14">
        <f t="shared" ca="1" si="0"/>
        <v>0</v>
      </c>
      <c r="E6" s="14">
        <f t="shared" ca="1" si="0"/>
        <v>0</v>
      </c>
      <c r="F6" s="14">
        <f t="shared" ca="1" si="0"/>
        <v>0</v>
      </c>
      <c r="G6" s="14">
        <f t="shared" ca="1" si="0"/>
        <v>0</v>
      </c>
      <c r="H6" s="14">
        <f t="shared" ca="1" si="0"/>
        <v>0</v>
      </c>
      <c r="I6" s="14">
        <f t="shared" ca="1" si="0"/>
        <v>0</v>
      </c>
      <c r="J6" s="14">
        <f t="shared" ca="1" si="0"/>
        <v>0</v>
      </c>
      <c r="K6" s="16">
        <f t="shared" ca="1" si="2"/>
        <v>0</v>
      </c>
      <c r="L6" s="17">
        <f ca="1">SUMPRODUCT(('Grupa B'!$M$7:$M$21='Rangiranje B'!A6)*('Grupa B'!$N$7:$N$21&gt;'Grupa B'!$O$7:$O$21))+SUMPRODUCT(('Grupa B'!$R$7:$R$19='Rangiranje B'!A6)*('Grupa B'!$S$7:$S$19&gt;'Grupa B'!$T$7:$T$19))</f>
        <v>0</v>
      </c>
      <c r="M6" s="17">
        <f ca="1">SUMPRODUCT(('Grupa B'!$M$7:$M$21='Rangiranje B'!A6)*('Grupa B'!$N$7:$N$21='Grupa B'!$O$7:$O$21)*('Grupa B'!$N$7:$N$21&lt;&gt;""))</f>
        <v>0</v>
      </c>
      <c r="N6" s="17">
        <f ca="1">SUMPRODUCT(('Grupa B'!$M$7:$M$21='Rangiranje B'!A6)*('Grupa B'!$N$7:$N$21&lt;'Grupa B'!$O$7:$O$21))+SUMPRODUCT(('Grupa B'!$R$7:$R$19='Rangiranje B'!A6)*('Grupa B'!$S$7:$S$19&lt;'Grupa B'!$T$7:$T$19))</f>
        <v>0</v>
      </c>
      <c r="O6" s="17">
        <f ca="1">SUMIF('Grupa B'!$M$7:$M$21,'Rangiranje B'!A6,'Grupa B'!$N$7:$N$21)+SUMIF('Grupa B'!$R$7:$R$19,'Rangiranje B'!A6,'Grupa B'!$S$7:$S$19)</f>
        <v>0</v>
      </c>
      <c r="P6" s="17">
        <f ca="1">SUMIF('Grupa B'!$M$7:$M$21,'Rangiranje B'!A6,'Grupa B'!$O$7:$O$21)+SUMIF('Grupa B'!$R$7:$R$19,'Rangiranje B'!A6,'Grupa B'!$T$7:$T$19)</f>
        <v>0</v>
      </c>
      <c r="Q6" s="17">
        <f t="shared" ca="1" si="3"/>
        <v>0</v>
      </c>
      <c r="R6" s="18">
        <f t="shared" ca="1" si="4"/>
        <v>0</v>
      </c>
      <c r="S6" s="16">
        <f t="shared" ca="1" si="5"/>
        <v>0</v>
      </c>
      <c r="T6" s="17">
        <f ca="1">SUMPRODUCT(('Grupa B'!$P$7:$P$21='Rangiranje B'!A6)*('Grupa B'!$O$7:$O$21&gt;'Grupa B'!$N$7:$N$21))+SUMPRODUCT(('Grupa B'!$U$7:$U$19='Rangiranje B'!A6)*('Grupa B'!$T$7:$T$19&gt;'Grupa B'!$S$7:$S$19))</f>
        <v>0</v>
      </c>
      <c r="U6" s="17">
        <f ca="1">SUMPRODUCT(('Grupa B'!$P$7:$P$21='Rangiranje B'!A6)*('Grupa B'!$O$7:$O$21='Grupa B'!$N$7:$N$21)*('Grupa B'!$O$7:$O$21&lt;&gt;""))</f>
        <v>0</v>
      </c>
      <c r="V6" s="17">
        <f ca="1">SUMPRODUCT(('Grupa B'!$P$7:$P$21='Rangiranje B'!A6)*('Grupa B'!$O$7:$O$21&lt;'Grupa B'!$N$7:$N$21))+SUMPRODUCT(('Grupa B'!$U$7:$U$19='Rangiranje B'!A6)*('Grupa B'!$T$7:$T$19&lt;'Grupa B'!$S$7:$S$19))</f>
        <v>0</v>
      </c>
      <c r="W6" s="17">
        <f ca="1">SUMIF('Grupa B'!$P$7:$P$21,'Rangiranje B'!A6,'Grupa B'!$O$7:$O$21)+SUMIF('Grupa B'!$U$7:$U$19,'Rangiranje B'!A6,'Grupa B'!$T$7:$T$19)</f>
        <v>0</v>
      </c>
      <c r="X6" s="17">
        <f ca="1">SUMIF('Grupa B'!$P$7:$P$21,'Rangiranje B'!A6,'Grupa B'!$N$7:$N$21)+SUMIF('Grupa B'!$U$7:$U$19,'Rangiranje B'!A6,'Grupa B'!$S$7:$S$19)</f>
        <v>0</v>
      </c>
      <c r="Y6" s="17">
        <f t="shared" ca="1" si="6"/>
        <v>0</v>
      </c>
      <c r="Z6" s="18">
        <f t="shared" ca="1" si="7"/>
        <v>0</v>
      </c>
      <c r="AB6" s="2">
        <f t="shared" ca="1" si="8"/>
        <v>1</v>
      </c>
      <c r="AC6" s="2">
        <f t="shared" ca="1" si="9"/>
        <v>1</v>
      </c>
      <c r="AD6" s="2">
        <f t="shared" ca="1" si="10"/>
        <v>1</v>
      </c>
      <c r="AE6" s="2">
        <f t="shared" ca="1" si="11"/>
        <v>1</v>
      </c>
      <c r="AF6" s="2">
        <f t="shared" ca="1" si="15"/>
        <v>1</v>
      </c>
      <c r="AG6" s="2">
        <f t="shared" ca="1" si="12"/>
        <v>1</v>
      </c>
      <c r="AH6" s="2">
        <f t="shared" ca="1" si="13"/>
        <v>1</v>
      </c>
    </row>
    <row r="7" spans="1:34" ht="16.5" thickTop="1" thickBot="1" x14ac:dyDescent="0.3">
      <c r="A7" s="1" t="str">
        <f>IF(Timovi!E8&lt;&gt;"",Timovi!E8,0) &amp; " " &amp; "("&amp;Timovi!F8&amp;")"</f>
        <v>0 ()</v>
      </c>
      <c r="B7" s="2">
        <f t="shared" ca="1" si="1"/>
        <v>1.111111</v>
      </c>
      <c r="C7" s="14">
        <f t="shared" ca="1" si="14"/>
        <v>0</v>
      </c>
      <c r="D7" s="14">
        <f t="shared" ca="1" si="0"/>
        <v>0</v>
      </c>
      <c r="E7" s="14">
        <f t="shared" ca="1" si="0"/>
        <v>0</v>
      </c>
      <c r="F7" s="14">
        <f t="shared" ca="1" si="0"/>
        <v>0</v>
      </c>
      <c r="G7" s="14">
        <f t="shared" ca="1" si="0"/>
        <v>0</v>
      </c>
      <c r="H7" s="14">
        <f t="shared" ca="1" si="0"/>
        <v>0</v>
      </c>
      <c r="I7" s="14">
        <f t="shared" ca="1" si="0"/>
        <v>0</v>
      </c>
      <c r="J7" s="14">
        <f t="shared" ca="1" si="0"/>
        <v>0</v>
      </c>
      <c r="K7" s="16">
        <f t="shared" ca="1" si="2"/>
        <v>0</v>
      </c>
      <c r="L7" s="17">
        <f ca="1">SUMPRODUCT(('Grupa B'!$M$7:$M$21='Rangiranje B'!A7)*('Grupa B'!$N$7:$N$21&gt;'Grupa B'!$O$7:$O$21))+SUMPRODUCT(('Grupa B'!$R$7:$R$19='Rangiranje B'!A7)*('Grupa B'!$S$7:$S$19&gt;'Grupa B'!$T$7:$T$19))</f>
        <v>0</v>
      </c>
      <c r="M7" s="17">
        <f ca="1">SUMPRODUCT(('Grupa B'!$M$7:$M$21='Rangiranje B'!A7)*('Grupa B'!$N$7:$N$21='Grupa B'!$O$7:$O$21)*('Grupa B'!$N$7:$N$21&lt;&gt;""))</f>
        <v>0</v>
      </c>
      <c r="N7" s="17">
        <f ca="1">SUMPRODUCT(('Grupa B'!$M$7:$M$21='Rangiranje B'!A7)*('Grupa B'!$N$7:$N$21&lt;'Grupa B'!$O$7:$O$21))+SUMPRODUCT(('Grupa B'!$R$7:$R$19='Rangiranje B'!A7)*('Grupa B'!$S$7:$S$19&lt;'Grupa B'!$T$7:$T$19))</f>
        <v>0</v>
      </c>
      <c r="O7" s="17">
        <f ca="1">SUMIF('Grupa B'!$M$7:$M$21,'Rangiranje B'!A7,'Grupa B'!$N$7:$N$21)+SUMIF('Grupa B'!$R$7:$R$19,'Rangiranje B'!A7,'Grupa B'!$S$7:$S$19)</f>
        <v>0</v>
      </c>
      <c r="P7" s="17">
        <f ca="1">SUMIF('Grupa B'!$M$7:$M$21,'Rangiranje B'!A7,'Grupa B'!$O$7:$O$21)+SUMIF('Grupa B'!$R$7:$R$19,'Rangiranje B'!A7,'Grupa B'!$T$7:$T$19)</f>
        <v>0</v>
      </c>
      <c r="Q7" s="17">
        <f t="shared" ca="1" si="3"/>
        <v>0</v>
      </c>
      <c r="R7" s="18">
        <f t="shared" ca="1" si="4"/>
        <v>0</v>
      </c>
      <c r="S7" s="16">
        <f t="shared" ca="1" si="5"/>
        <v>0</v>
      </c>
      <c r="T7" s="17">
        <f ca="1">SUMPRODUCT(('Grupa B'!$P$7:$P$21='Rangiranje B'!A7)*('Grupa B'!$O$7:$O$21&gt;'Grupa B'!$N$7:$N$21))+SUMPRODUCT(('Grupa B'!$U$7:$U$19='Rangiranje B'!A7)*('Grupa B'!$T$7:$T$19&gt;'Grupa B'!$S$7:$S$19))</f>
        <v>0</v>
      </c>
      <c r="U7" s="17">
        <f ca="1">SUMPRODUCT(('Grupa B'!$P$7:$P$21='Rangiranje B'!A7)*('Grupa B'!$O$7:$O$21='Grupa B'!$N$7:$N$21)*('Grupa B'!$O$7:$O$21&lt;&gt;""))</f>
        <v>0</v>
      </c>
      <c r="V7" s="17">
        <f ca="1">SUMPRODUCT(('Grupa B'!$P$7:$P$21='Rangiranje B'!A7)*('Grupa B'!$O$7:$O$21&lt;'Grupa B'!$N$7:$N$21))+SUMPRODUCT(('Grupa B'!$U$7:$U$19='Rangiranje B'!A7)*('Grupa B'!$T$7:$T$19&lt;'Grupa B'!$S$7:$S$19))</f>
        <v>0</v>
      </c>
      <c r="W7" s="17">
        <f ca="1">SUMIF('Grupa B'!$P$7:$P$21,'Rangiranje B'!A7,'Grupa B'!$O$7:$O$21)+SUMIF('Grupa B'!$U$7:$U$19,'Rangiranje B'!A7,'Grupa B'!$T$7:$T$19)</f>
        <v>0</v>
      </c>
      <c r="X7" s="17">
        <f ca="1">SUMIF('Grupa B'!$P$7:$P$21,'Rangiranje B'!A7,'Grupa B'!$N$7:$N$21)+SUMIF('Grupa B'!$U$7:$U$19,'Rangiranje B'!A7,'Grupa B'!$S$7:$S$19)</f>
        <v>0</v>
      </c>
      <c r="Y7" s="17">
        <f t="shared" ca="1" si="6"/>
        <v>0</v>
      </c>
      <c r="Z7" s="18">
        <f t="shared" ca="1" si="7"/>
        <v>0</v>
      </c>
      <c r="AB7" s="2">
        <f t="shared" ca="1" si="8"/>
        <v>1</v>
      </c>
      <c r="AC7" s="2">
        <f t="shared" ca="1" si="9"/>
        <v>1</v>
      </c>
      <c r="AD7" s="2">
        <f t="shared" ca="1" si="10"/>
        <v>1</v>
      </c>
      <c r="AE7" s="2">
        <f t="shared" ca="1" si="11"/>
        <v>1</v>
      </c>
      <c r="AF7" s="2">
        <f t="shared" ca="1" si="15"/>
        <v>1</v>
      </c>
      <c r="AG7" s="2">
        <f t="shared" ca="1" si="12"/>
        <v>1</v>
      </c>
      <c r="AH7" s="2">
        <f t="shared" ca="1" si="13"/>
        <v>1</v>
      </c>
    </row>
    <row r="8" spans="1:34" ht="16.5" thickTop="1" thickBot="1" x14ac:dyDescent="0.3">
      <c r="A8" s="1" t="str">
        <f>IF(Timovi!E9&lt;&gt;"",Timovi!E9,0) &amp; " " &amp; "("&amp;Timovi!F9&amp;")"</f>
        <v>0 ()</v>
      </c>
      <c r="B8" s="2">
        <f t="shared" ca="1" si="1"/>
        <v>1.111111</v>
      </c>
      <c r="C8" s="14">
        <f ca="1">SUM(D8:F8)</f>
        <v>0</v>
      </c>
      <c r="D8" s="14">
        <f t="shared" ca="1" si="0"/>
        <v>0</v>
      </c>
      <c r="E8" s="14">
        <f t="shared" ca="1" si="0"/>
        <v>0</v>
      </c>
      <c r="F8" s="14">
        <f t="shared" ca="1" si="0"/>
        <v>0</v>
      </c>
      <c r="G8" s="14">
        <f t="shared" ca="1" si="0"/>
        <v>0</v>
      </c>
      <c r="H8" s="14">
        <f t="shared" ca="1" si="0"/>
        <v>0</v>
      </c>
      <c r="I8" s="14">
        <f ca="1">Q8+Y8</f>
        <v>0</v>
      </c>
      <c r="J8" s="14">
        <f t="shared" ca="1" si="0"/>
        <v>0</v>
      </c>
      <c r="K8" s="16">
        <f t="shared" ca="1" si="2"/>
        <v>0</v>
      </c>
      <c r="L8" s="17">
        <f ca="1">SUMPRODUCT(('Grupa B'!$M$7:$M$21='Rangiranje B'!A8)*('Grupa B'!$N$7:$N$21&gt;'Grupa B'!$O$7:$O$21))+SUMPRODUCT(('Grupa B'!$R$7:$R$19='Rangiranje B'!A8)*('Grupa B'!$S$7:$S$19&gt;'Grupa B'!$T$7:$T$19))</f>
        <v>0</v>
      </c>
      <c r="M8" s="17">
        <f ca="1">SUMPRODUCT(('Grupa B'!$M$7:$M$21='Rangiranje B'!A8)*('Grupa B'!$N$7:$N$21='Grupa B'!$O$7:$O$21)*('Grupa B'!$N$7:$N$21&lt;&gt;""))</f>
        <v>0</v>
      </c>
      <c r="N8" s="17">
        <f ca="1">SUMPRODUCT(('Grupa B'!$M$7:$M$21='Rangiranje B'!A8)*('Grupa B'!$N$7:$N$21&lt;'Grupa B'!$O$7:$O$21))+SUMPRODUCT(('Grupa B'!$R$7:$R$19='Rangiranje B'!A8)*('Grupa B'!$S$7:$S$19&lt;'Grupa B'!$T$7:$T$19))</f>
        <v>0</v>
      </c>
      <c r="O8" s="17">
        <f ca="1">SUMIF('Grupa B'!$M$7:$M$21,'Rangiranje B'!A8,'Grupa B'!$N$7:$N$21)+SUMIF('Grupa B'!$R$7:$R$19,'Rangiranje B'!A8,'Grupa B'!$S$7:$S$19)</f>
        <v>0</v>
      </c>
      <c r="P8" s="17">
        <f ca="1">SUMIF('Grupa B'!$M$7:$M$21,'Rangiranje B'!A8,'Grupa B'!$O$7:$O$21)+SUMIF('Grupa B'!$R$7:$R$19,'Rangiranje B'!A8,'Grupa B'!$T$7:$T$19)</f>
        <v>0</v>
      </c>
      <c r="Q8" s="17">
        <f t="shared" ca="1" si="3"/>
        <v>0</v>
      </c>
      <c r="R8" s="18">
        <f t="shared" ca="1" si="4"/>
        <v>0</v>
      </c>
      <c r="S8" s="16">
        <f t="shared" ca="1" si="5"/>
        <v>0</v>
      </c>
      <c r="T8" s="17">
        <f ca="1">SUMPRODUCT(('Grupa B'!$P$7:$P$21='Rangiranje B'!A8)*('Grupa B'!$O$7:$O$21&gt;'Grupa B'!$N$7:$N$21))+SUMPRODUCT(('Grupa B'!$U$7:$U$19='Rangiranje B'!A8)*('Grupa B'!$T$7:$T$19&gt;'Grupa B'!$S$7:$S$19))</f>
        <v>0</v>
      </c>
      <c r="U8" s="17">
        <f ca="1">SUMPRODUCT(('Grupa B'!$P$7:$P$21='Rangiranje B'!A8)*('Grupa B'!$O$7:$O$21='Grupa B'!$N$7:$N$21)*('Grupa B'!$O$7:$O$21&lt;&gt;""))</f>
        <v>0</v>
      </c>
      <c r="V8" s="17">
        <f ca="1">SUMPRODUCT(('Grupa B'!$P$7:$P$21='Rangiranje B'!A8)*('Grupa B'!$O$7:$O$21&lt;'Grupa B'!$N$7:$N$21))+SUMPRODUCT(('Grupa B'!$U$7:$U$19='Rangiranje B'!A8)*('Grupa B'!$T$7:$T$19&lt;'Grupa B'!$S$7:$S$19))</f>
        <v>0</v>
      </c>
      <c r="W8" s="17">
        <f ca="1">SUMIF('Grupa B'!$P$7:$P$21,'Rangiranje B'!A8,'Grupa B'!$O$7:$O$21)+SUMIF('Grupa B'!$U$7:$U$19,'Rangiranje B'!A8,'Grupa B'!$T$7:$T$19)</f>
        <v>0</v>
      </c>
      <c r="X8" s="17">
        <f ca="1">SUMIF('Grupa B'!$P$7:$P$21,'Rangiranje B'!A8,'Grupa B'!$N$7:$N$21)+SUMIF('Grupa B'!$U$7:$U$19,'Rangiranje B'!A8,'Grupa B'!$S$7:$S$19)</f>
        <v>0</v>
      </c>
      <c r="Y8" s="17">
        <f t="shared" ca="1" si="6"/>
        <v>0</v>
      </c>
      <c r="Z8" s="18">
        <f t="shared" ca="1" si="7"/>
        <v>0</v>
      </c>
      <c r="AB8" s="2">
        <f t="shared" ca="1" si="8"/>
        <v>1</v>
      </c>
      <c r="AC8" s="2">
        <f t="shared" ca="1" si="9"/>
        <v>1</v>
      </c>
      <c r="AD8" s="2">
        <f t="shared" ca="1" si="10"/>
        <v>1</v>
      </c>
      <c r="AE8" s="2">
        <f t="shared" ca="1" si="11"/>
        <v>1</v>
      </c>
      <c r="AF8" s="2">
        <f t="shared" ca="1" si="15"/>
        <v>1</v>
      </c>
      <c r="AG8" s="2">
        <f t="shared" ca="1" si="12"/>
        <v>1</v>
      </c>
      <c r="AH8" s="2">
        <f t="shared" ca="1" si="13"/>
        <v>1</v>
      </c>
    </row>
    <row r="9" spans="1:34" ht="15.75" thickTop="1" x14ac:dyDescent="0.25">
      <c r="AC9" s="3" t="s">
        <v>59</v>
      </c>
    </row>
    <row r="10" spans="1:34" x14ac:dyDescent="0.25">
      <c r="AC10" s="9">
        <f ca="1">INDEX('Medjusobni susret B'!$R$2:$R$7,MATCH(A3,'Medjusobni susret B'!$I$2:$I$7,0),1)</f>
        <v>0</v>
      </c>
    </row>
    <row r="11" spans="1:34" x14ac:dyDescent="0.25">
      <c r="AC11" s="9">
        <f ca="1">INDEX('Medjusobni susret B'!$R$2:$R$7,MATCH(A4,'Medjusobni susret B'!$I$2:$I$7,0),1)</f>
        <v>0</v>
      </c>
    </row>
    <row r="12" spans="1:34" x14ac:dyDescent="0.25">
      <c r="AC12" s="9">
        <f ca="1">INDEX('Medjusobni susret B'!$R$2:$R$7,MATCH(A5,'Medjusobni susret B'!$I$2:$I$7,0),1)</f>
        <v>0</v>
      </c>
    </row>
    <row r="13" spans="1:34" x14ac:dyDescent="0.25">
      <c r="AC13" s="9">
        <f ca="1">INDEX('Medjusobni susret B'!$R$2:$R$7,MATCH(A6,'Medjusobni susret B'!$I$2:$I$7,0),1)</f>
        <v>0</v>
      </c>
    </row>
    <row r="14" spans="1:34" x14ac:dyDescent="0.25">
      <c r="AC14" s="9">
        <f ca="1">INDEX('Medjusobni susret B'!$R$2:$R$7,MATCH(A7,'Medjusobni susret B'!$I$2:$I$7,0),1)</f>
        <v>0</v>
      </c>
    </row>
    <row r="15" spans="1:34" x14ac:dyDescent="0.25">
      <c r="AC15" s="9">
        <f ca="1">INDEX('Medjusobni susret B'!$R$2:$R$7,MATCH(A8,'Medjusobni susret B'!$I$2:$I$7,0),1)</f>
        <v>0</v>
      </c>
    </row>
    <row r="16" spans="1:34" x14ac:dyDescent="0.25">
      <c r="AC16" s="9"/>
    </row>
  </sheetData>
  <mergeCells count="3">
    <mergeCell ref="C1:J1"/>
    <mergeCell ref="K1:R1"/>
    <mergeCell ref="S1:Z1"/>
  </mergeCells>
  <pageMargins left="0.7" right="0.7" top="0.75" bottom="0.75" header="0.3" footer="0.3"/>
  <pageSetup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I19"/>
  <sheetViews>
    <sheetView showGridLines="0" workbookViewId="0">
      <selection activeCell="C3" sqref="C3:D13"/>
    </sheetView>
  </sheetViews>
  <sheetFormatPr defaultRowHeight="15" x14ac:dyDescent="0.25"/>
  <cols>
    <col min="1" max="1" width="4.5703125" style="65" customWidth="1"/>
    <col min="2" max="2" width="3" style="65" bestFit="1" customWidth="1"/>
    <col min="3" max="4" width="18.42578125" style="65" customWidth="1"/>
    <col min="5" max="16384" width="9.140625" style="65"/>
  </cols>
  <sheetData>
    <row r="1" spans="1:9" x14ac:dyDescent="0.25">
      <c r="A1" s="103"/>
      <c r="B1" s="105"/>
      <c r="C1" s="105"/>
      <c r="D1" s="105"/>
      <c r="E1" s="105"/>
      <c r="F1" s="105"/>
      <c r="G1" s="105"/>
      <c r="H1" s="106"/>
    </row>
    <row r="2" spans="1:9" x14ac:dyDescent="0.25">
      <c r="A2" s="107"/>
      <c r="B2" s="74"/>
      <c r="C2" s="72" t="s">
        <v>26</v>
      </c>
      <c r="D2" s="72" t="s">
        <v>47</v>
      </c>
      <c r="E2" s="74"/>
      <c r="F2" s="74"/>
      <c r="G2" s="74"/>
      <c r="H2" s="109"/>
    </row>
    <row r="3" spans="1:9" x14ac:dyDescent="0.25">
      <c r="A3" s="107"/>
      <c r="B3" s="95"/>
      <c r="C3" s="94"/>
      <c r="D3" s="94"/>
      <c r="E3" s="74"/>
      <c r="F3" s="121">
        <f>IF(AND(Informacije!$D$7=6,C3&lt;&gt;""),RANK(' '!B2,' '!$B$2:$B$7),0)+IF(AND(Informacije!$D$7=7,C3&lt;&gt;""),RANK(' '!B2,' '!$B$2:$B$8),0)+IF(AND(Informacije!$D$7=8,C3&lt;&gt;""),RANK(' '!B2,' '!$B$2:$B$9),0)+IF(AND(Informacije!$D$7=9,C3&lt;&gt;""),RANK(' '!B2,' '!$B$2:$B$10),0)+IF(AND(Informacije!$D$7=10,C3&lt;&gt;""),RANK(' '!B2,' '!$B$2:$B$11),0)+IF(AND(Informacije!$D$7=11,C3&lt;&gt;""),RANK(' '!B2,' '!$B$2:$B$12),0)</f>
        <v>0</v>
      </c>
      <c r="G3" s="121"/>
      <c r="H3" s="109"/>
    </row>
    <row r="4" spans="1:9" x14ac:dyDescent="0.25">
      <c r="A4" s="107"/>
      <c r="B4" s="95"/>
      <c r="C4" s="94"/>
      <c r="D4" s="94"/>
      <c r="E4" s="74"/>
      <c r="F4" s="121">
        <f>IF(AND(Informacije!$D$7=6,C4&lt;&gt;""),RANK(' '!B3,' '!$B$2:$B$7),0)+IF(AND(Informacije!$D$7=7,C4&lt;&gt;""),RANK(' '!B3,' '!$B$2:$B$8),0)+IF(AND(Informacije!$D$7=8,C4&lt;&gt;""),RANK(' '!B3,' '!$B$2:$B$9),0)+IF(AND(Informacije!$D$7=9,C4&lt;&gt;""),RANK(' '!B3,' '!$B$2:$B$10),0)+IF(AND(Informacije!$D$7=10,C4&lt;&gt;""),RANK(' '!B3,' '!$B$2:$B$11),0)+IF(AND(Informacije!$D$7=11,C4&lt;&gt;""),RANK(' '!B3,' '!$B$2:$B$12),0)</f>
        <v>0</v>
      </c>
      <c r="G4" s="121"/>
      <c r="H4" s="109"/>
    </row>
    <row r="5" spans="1:9" x14ac:dyDescent="0.25">
      <c r="A5" s="107"/>
      <c r="B5" s="95"/>
      <c r="C5" s="94"/>
      <c r="D5" s="94"/>
      <c r="E5" s="74"/>
      <c r="F5" s="121">
        <f>IF(AND(Informacije!$D$7=6,C5&lt;&gt;""),RANK(' '!B4,' '!$B$2:$B$7),0)+IF(AND(Informacije!$D$7=7,C5&lt;&gt;""),RANK(' '!B4,' '!$B$2:$B$8),0)+IF(AND(Informacije!$D$7=8,C5&lt;&gt;""),RANK(' '!B4,' '!$B$2:$B$9),0)+IF(AND(Informacije!$D$7=9,C5&lt;&gt;""),RANK(' '!B4,' '!$B$2:$B$10),0)+IF(AND(Informacije!$D$7=10,C5&lt;&gt;""),RANK(' '!B4,' '!$B$2:$B$11),0)+IF(AND(Informacije!$D$7=11,C5&lt;&gt;""),RANK(' '!B4,' '!$B$2:$B$12),0)</f>
        <v>0</v>
      </c>
      <c r="G5" s="121"/>
      <c r="H5" s="109"/>
    </row>
    <row r="6" spans="1:9" x14ac:dyDescent="0.25">
      <c r="A6" s="107"/>
      <c r="B6" s="95"/>
      <c r="C6" s="94"/>
      <c r="D6" s="94"/>
      <c r="E6" s="74"/>
      <c r="F6" s="121">
        <f>IF(AND(Informacije!$D$7=6,C6&lt;&gt;""),RANK(' '!B5,' '!$B$2:$B$7),0)+IF(AND(Informacije!$D$7=7,C6&lt;&gt;""),RANK(' '!B5,' '!$B$2:$B$8),0)+IF(AND(Informacije!$D$7=8,C6&lt;&gt;""),RANK(' '!B5,' '!$B$2:$B$9),0)+IF(AND(Informacije!$D$7=9,C6&lt;&gt;""),RANK(' '!B5,' '!$B$2:$B$10),0)+IF(AND(Informacije!$D$7=10,C6&lt;&gt;""),RANK(' '!B5,' '!$B$2:$B$11),0)+IF(AND(Informacije!$D$7=11,C6&lt;&gt;""),RANK(' '!B5,' '!$B$2:$B$12),0)</f>
        <v>0</v>
      </c>
      <c r="G6" s="121"/>
      <c r="H6" s="109"/>
      <c r="I6" s="92"/>
    </row>
    <row r="7" spans="1:9" x14ac:dyDescent="0.25">
      <c r="A7" s="107"/>
      <c r="B7" s="95"/>
      <c r="C7" s="94"/>
      <c r="D7" s="94"/>
      <c r="E7" s="74"/>
      <c r="F7" s="121">
        <f>IF(AND(Informacije!$D$7=6,C7&lt;&gt;""),RANK(' '!B6,' '!$B$2:$B$7),0)+IF(AND(Informacije!$D$7=7,C7&lt;&gt;""),RANK(' '!B6,' '!$B$2:$B$8),0)+IF(AND(Informacije!$D$7=8,C7&lt;&gt;""),RANK(' '!B6,' '!$B$2:$B$9),0)+IF(AND(Informacije!$D$7=9,C7&lt;&gt;""),RANK(' '!B6,' '!$B$2:$B$10),0)+IF(AND(Informacije!$D$7=10,C7&lt;&gt;""),RANK(' '!B6,' '!$B$2:$B$11),0)+IF(AND(Informacije!$D$7=11,C7&lt;&gt;""),RANK(' '!B6,' '!$B$2:$B$12),0)</f>
        <v>0</v>
      </c>
      <c r="G7" s="121"/>
      <c r="H7" s="109"/>
      <c r="I7" s="92"/>
    </row>
    <row r="8" spans="1:9" x14ac:dyDescent="0.25">
      <c r="A8" s="107"/>
      <c r="B8" s="95"/>
      <c r="C8" s="94"/>
      <c r="D8" s="94"/>
      <c r="E8" s="74"/>
      <c r="F8" s="121">
        <f>IF(AND(Informacije!$D$7=6,C8&lt;&gt;""),RANK(' '!B7,' '!$B$2:$B$7),0)+IF(AND(Informacije!$D$7=7,C8&lt;&gt;""),RANK(' '!B7,' '!$B$2:$B$8),0)+IF(AND(Informacije!$D$7=8,C8&lt;&gt;""),RANK(' '!B7,' '!$B$2:$B$9),0)+IF(AND(Informacije!$D$7=9,C8&lt;&gt;""),RANK(' '!B7,' '!$B$2:$B$10),0)+IF(AND(Informacije!$D$7=10,C8&lt;&gt;""),RANK(' '!B7,' '!$B$2:$B$11),0)+IF(AND(Informacije!$D$7=11,C8&lt;&gt;""),RANK(' '!B7,' '!$B$2:$B$12),0)</f>
        <v>0</v>
      </c>
      <c r="G8" s="121"/>
      <c r="H8" s="109"/>
      <c r="I8" s="92"/>
    </row>
    <row r="9" spans="1:9" x14ac:dyDescent="0.25">
      <c r="A9" s="107"/>
      <c r="B9" s="95"/>
      <c r="C9" s="94"/>
      <c r="D9" s="94"/>
      <c r="E9" s="74"/>
      <c r="F9" s="121">
        <f>IF(AND(Informacije!$D$7=6,C9&lt;&gt;""),RANK(' '!B8,' '!$B$2:$B$7),0)+IF(AND(Informacije!$D$7=7,C9&lt;&gt;""),RANK(' '!B8,' '!$B$2:$B$8),0)+IF(AND(Informacije!$D$7=8,C9&lt;&gt;""),RANK(' '!B8,' '!$B$2:$B$9),0)+IF(AND(Informacije!$D$7=9,C9&lt;&gt;""),RANK(' '!B8,' '!$B$2:$B$10),0)+IF(AND(Informacije!$D$7=10,C9&lt;&gt;""),RANK(' '!B8,' '!$B$2:$B$11),0)+IF(AND(Informacije!$D$7=11,C9&lt;&gt;""),RANK(' '!B8,' '!$B$2:$B$12),0)</f>
        <v>0</v>
      </c>
      <c r="G9" s="121"/>
      <c r="H9" s="109"/>
      <c r="I9" s="92"/>
    </row>
    <row r="10" spans="1:9" x14ac:dyDescent="0.25">
      <c r="A10" s="107"/>
      <c r="B10" s="95"/>
      <c r="C10" s="122"/>
      <c r="D10" s="94"/>
      <c r="E10" s="74"/>
      <c r="F10" s="121">
        <f>IF(AND(Informacije!$D$7=6,C10&lt;&gt;""),RANK(' '!B9,' '!$B$2:$B$7),0)+IF(AND(Informacije!$D$7=7,C10&lt;&gt;""),RANK(' '!B9,' '!$B$2:$B$8),0)+IF(AND(Informacije!$D$7=8,C10&lt;&gt;""),RANK(' '!B9,' '!$B$2:$B$9),0)+IF(AND(Informacije!$D$7=9,C10&lt;&gt;""),RANK(' '!B9,' '!$B$2:$B$10),0)+IF(AND(Informacije!$D$7=10,C10&lt;&gt;""),RANK(' '!B9,' '!$B$2:$B$11),0)+IF(AND(Informacije!$D$7=11,C10&lt;&gt;""),RANK(' '!B9,' '!$B$2:$B$12),0)</f>
        <v>0</v>
      </c>
      <c r="G10" s="121"/>
      <c r="H10" s="109"/>
      <c r="I10" s="92"/>
    </row>
    <row r="11" spans="1:9" x14ac:dyDescent="0.25">
      <c r="A11" s="107"/>
      <c r="B11" s="95"/>
      <c r="C11" s="122"/>
      <c r="D11" s="94"/>
      <c r="E11" s="74"/>
      <c r="F11" s="121">
        <f>IF(AND(Informacije!$D$7=6,C11&lt;&gt;""),RANK(' '!B10,' '!$B$2:$B$7),0)+IF(AND(Informacije!$D$7=7,C11&lt;&gt;""),RANK(' '!B10,' '!$B$2:$B$8),0)+IF(AND(Informacije!$D$7=8,C11&lt;&gt;""),RANK(' '!B10,' '!$B$2:$B$9),0)+IF(AND(Informacije!$D$7=9,C11&lt;&gt;""),RANK(' '!B10,' '!$B$2:$B$10),0)+IF(AND(Informacije!$D$7=10,C11&lt;&gt;""),RANK(' '!B10,' '!$B$2:$B$11),0)+IF(AND(Informacije!$D$7=11,C11&lt;&gt;""),RANK(' '!B10,' '!$B$2:$B$12),0)</f>
        <v>0</v>
      </c>
      <c r="G11" s="121"/>
      <c r="H11" s="109"/>
      <c r="I11" s="93"/>
    </row>
    <row r="12" spans="1:9" x14ac:dyDescent="0.25">
      <c r="A12" s="107"/>
      <c r="B12" s="95"/>
      <c r="C12" s="122"/>
      <c r="D12" s="94"/>
      <c r="E12" s="74"/>
      <c r="F12" s="121">
        <f>IF(AND(Informacije!$D$7=6,C12&lt;&gt;""),RANK(' '!B11,' '!$B$2:$B$7),0)+IF(AND(Informacije!$D$7=7,C12&lt;&gt;""),RANK(' '!B11,' '!$B$2:$B$8),0)+IF(AND(Informacije!$D$7=8,C12&lt;&gt;""),RANK(' '!B11,' '!$B$2:$B$9),0)+IF(AND(Informacije!$D$7=9,C12&lt;&gt;""),RANK(' '!B11,' '!$B$2:$B$10),0)+IF(AND(Informacije!$D$7=10,C12&lt;&gt;""),RANK(' '!B11,' '!$B$2:$B$11),0)+IF(AND(Informacije!$D$7=11,C12&lt;&gt;""),RANK(' '!B11,' '!$B$2:$B$12),0)</f>
        <v>0</v>
      </c>
      <c r="G12" s="121"/>
      <c r="H12" s="109"/>
      <c r="I12" s="93"/>
    </row>
    <row r="13" spans="1:9" x14ac:dyDescent="0.25">
      <c r="A13" s="107"/>
      <c r="B13" s="95"/>
      <c r="C13" s="122"/>
      <c r="D13" s="94"/>
      <c r="E13" s="74"/>
      <c r="F13" s="121">
        <f>IF(AND(Informacije!$D$7=6,C13&lt;&gt;""),RANK(' '!B12,' '!$B$2:$B$7),0)+IF(AND(Informacije!$D$7=7,C13&lt;&gt;""),RANK(' '!B12,' '!$B$2:$B$8),0)+IF(AND(Informacije!$D$7=8,C13&lt;&gt;""),RANK(' '!B12,' '!$B$2:$B$9),0)+IF(AND(Informacije!$D$7=9,C13&lt;&gt;""),RANK(' '!B12,' '!$B$2:$B$10),0)+IF(AND(Informacije!$D$7=10,C13&lt;&gt;""),RANK(' '!B12,' '!$B$2:$B$11),0)+IF(AND(Informacije!$D$7=11,C13&lt;&gt;""),RANK(' '!B12,' '!$B$2:$B$12),0)</f>
        <v>0</v>
      </c>
      <c r="G13" s="121"/>
      <c r="H13" s="109"/>
      <c r="I13" s="93"/>
    </row>
    <row r="14" spans="1:9" x14ac:dyDescent="0.25">
      <c r="A14" s="107"/>
      <c r="B14" s="74"/>
      <c r="C14" s="74"/>
      <c r="D14" s="74"/>
      <c r="E14" s="74"/>
      <c r="F14" s="74"/>
      <c r="G14" s="74"/>
      <c r="H14" s="109"/>
      <c r="I14" s="93"/>
    </row>
    <row r="15" spans="1:9" x14ac:dyDescent="0.25">
      <c r="A15" s="107"/>
      <c r="B15" s="74"/>
      <c r="C15" s="74"/>
      <c r="D15" s="74"/>
      <c r="E15" s="74"/>
      <c r="F15" s="74"/>
      <c r="G15" s="74"/>
      <c r="H15" s="109"/>
      <c r="I15" s="93"/>
    </row>
    <row r="16" spans="1:9" x14ac:dyDescent="0.25">
      <c r="A16" s="107"/>
      <c r="B16" s="74"/>
      <c r="C16" s="74"/>
      <c r="D16" s="74"/>
      <c r="E16" s="74"/>
      <c r="F16" s="74"/>
      <c r="G16" s="74"/>
      <c r="H16" s="109"/>
    </row>
    <row r="17" spans="1:8" x14ac:dyDescent="0.25">
      <c r="A17" s="107"/>
      <c r="B17" s="74"/>
      <c r="C17" s="74"/>
      <c r="D17" s="74"/>
      <c r="E17" s="74"/>
      <c r="F17" s="74"/>
      <c r="G17" s="74"/>
      <c r="H17" s="109"/>
    </row>
    <row r="18" spans="1:8" x14ac:dyDescent="0.25">
      <c r="A18" s="107"/>
      <c r="B18" s="74"/>
      <c r="C18" s="74"/>
      <c r="D18" s="74"/>
      <c r="E18" s="74"/>
      <c r="F18" s="74"/>
      <c r="G18" s="74"/>
      <c r="H18" s="109"/>
    </row>
    <row r="19" spans="1:8" ht="15.75" thickBot="1" x14ac:dyDescent="0.3">
      <c r="A19" s="116"/>
      <c r="B19" s="117"/>
      <c r="C19" s="117"/>
      <c r="D19" s="117"/>
      <c r="E19" s="117"/>
      <c r="F19" s="117"/>
      <c r="G19" s="117"/>
      <c r="H19" s="119"/>
    </row>
  </sheetData>
  <sheetProtection password="E163" sheet="1" objects="1" scenarios="1"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CONTINUE">
          <controlPr defaultSize="0" autoLine="0" r:id="rId5">
            <anchor moveWithCells="1">
              <from>
                <xdr:col>2</xdr:col>
                <xdr:colOff>9525</xdr:colOff>
                <xdr:row>16</xdr:row>
                <xdr:rowOff>19050</xdr:rowOff>
              </from>
              <to>
                <xdr:col>3</xdr:col>
                <xdr:colOff>962025</xdr:colOff>
                <xdr:row>17</xdr:row>
                <xdr:rowOff>180975</xdr:rowOff>
              </to>
            </anchor>
          </controlPr>
        </control>
      </mc:Choice>
      <mc:Fallback>
        <control shapeId="23553" r:id="rId4" name="CONTINUE"/>
      </mc:Fallback>
    </mc:AlternateContent>
    <mc:AlternateContent xmlns:mc="http://schemas.openxmlformats.org/markup-compatibility/2006">
      <mc:Choice Requires="x14">
        <control shapeId="23554" r:id="rId6" name="DRAW">
          <controlPr locked="0" defaultSize="0" autoLine="0" r:id="rId7">
            <anchor moveWithCells="1">
              <from>
                <xdr:col>2</xdr:col>
                <xdr:colOff>9525</xdr:colOff>
                <xdr:row>13</xdr:row>
                <xdr:rowOff>133350</xdr:rowOff>
              </from>
              <to>
                <xdr:col>3</xdr:col>
                <xdr:colOff>971550</xdr:colOff>
                <xdr:row>15</xdr:row>
                <xdr:rowOff>66675</xdr:rowOff>
              </to>
            </anchor>
          </controlPr>
        </control>
      </mc:Choice>
      <mc:Fallback>
        <control shapeId="23554" r:id="rId6" name="DRAW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EB5C1BFD-8F9B-4518-8C8C-A368CCC982B8}">
            <xm:f>Informacije!$D$7=5</xm:f>
            <x14:dxf>
              <fill>
                <patternFill>
                  <bgColor theme="9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C2:D2</xm:sqref>
        </x14:conditionalFormatting>
        <x14:conditionalFormatting xmlns:xm="http://schemas.microsoft.com/office/excel/2006/main">
          <x14:cfRule type="expression" priority="10" id="{FAE34DEE-72D7-42D2-A2B3-288902F0424D}">
            <xm:f>Informacije!$D$7=5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C3:D7</xm:sqref>
        </x14:conditionalFormatting>
        <x14:conditionalFormatting xmlns:xm="http://schemas.microsoft.com/office/excel/2006/main">
          <x14:cfRule type="expression" priority="9" id="{71CB1A8E-9AA9-44B6-9F39-6B2F33D9D6A4}">
            <xm:f>Informacije!$D$7&gt;=6</xm:f>
            <x14:dxf>
              <fill>
                <patternFill>
                  <bgColor theme="8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C2</xm:sqref>
        </x14:conditionalFormatting>
        <x14:conditionalFormatting xmlns:xm="http://schemas.microsoft.com/office/excel/2006/main">
          <x14:cfRule type="expression" priority="8" id="{92A51558-B20E-4C09-8C49-627C2633E67D}">
            <xm:f>Informacije!$D$7&gt;=6</xm:f>
            <x14:dxf>
              <fill>
                <patternFill>
                  <bgColor theme="6" tint="0.39994506668294322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D2</xm:sqref>
        </x14:conditionalFormatting>
        <x14:conditionalFormatting xmlns:xm="http://schemas.microsoft.com/office/excel/2006/main">
          <x14:cfRule type="expression" priority="6" id="{2EF892B1-CA2D-4200-AFA7-209D2FC9BC0A}">
            <xm:f>Informacije!$D$7=7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C3:D9</xm:sqref>
        </x14:conditionalFormatting>
        <x14:conditionalFormatting xmlns:xm="http://schemas.microsoft.com/office/excel/2006/main">
          <x14:cfRule type="expression" priority="5" id="{409FBB19-A6D3-418E-9AD7-73510D2538D0}">
            <xm:f>Informacije!$D$7=6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C3:D8</xm:sqref>
        </x14:conditionalFormatting>
        <x14:conditionalFormatting xmlns:xm="http://schemas.microsoft.com/office/excel/2006/main">
          <x14:cfRule type="expression" priority="4" id="{DA26ADF2-09BC-46FF-BA64-28AFB1358A30}">
            <xm:f>Informacije!$D$7=9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C3:D11</xm:sqref>
        </x14:conditionalFormatting>
        <x14:conditionalFormatting xmlns:xm="http://schemas.microsoft.com/office/excel/2006/main">
          <x14:cfRule type="expression" priority="3" id="{EF0E1396-EBE0-41D6-8D8B-FB2EE0F37FC8}">
            <xm:f>Informacije!$D$7=10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C3:D12</xm:sqref>
        </x14:conditionalFormatting>
        <x14:conditionalFormatting xmlns:xm="http://schemas.microsoft.com/office/excel/2006/main">
          <x14:cfRule type="expression" priority="2" id="{DE5E28BC-6DE3-4B04-B3BC-8280BE21C238}">
            <xm:f>Informacije!$D$7=11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C3:D13</xm:sqref>
        </x14:conditionalFormatting>
        <x14:conditionalFormatting xmlns:xm="http://schemas.microsoft.com/office/excel/2006/main">
          <x14:cfRule type="expression" priority="1" id="{F5EE78B8-6439-404F-9798-BC1323C9E1E7}">
            <xm:f>Informacije!$D$7=8</xm:f>
            <x14:dxf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C3:D10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B2:C12"/>
  <sheetViews>
    <sheetView workbookViewId="0">
      <selection activeCell="B2" sqref="B2:B12"/>
    </sheetView>
  </sheetViews>
  <sheetFormatPr defaultRowHeight="15" x14ac:dyDescent="0.25"/>
  <sheetData>
    <row r="2" spans="2:3" x14ac:dyDescent="0.25">
      <c r="B2" s="123">
        <v>0.22844857608609914</v>
      </c>
      <c r="C2">
        <v>1</v>
      </c>
    </row>
    <row r="3" spans="2:3" x14ac:dyDescent="0.25">
      <c r="B3" s="123">
        <v>6.1740060262395868E-2</v>
      </c>
      <c r="C3">
        <v>2</v>
      </c>
    </row>
    <row r="4" spans="2:3" x14ac:dyDescent="0.25">
      <c r="B4" s="123">
        <v>0.51324113345627032</v>
      </c>
      <c r="C4">
        <v>3</v>
      </c>
    </row>
    <row r="5" spans="2:3" x14ac:dyDescent="0.25">
      <c r="B5" s="123">
        <v>0.47863593127709148</v>
      </c>
      <c r="C5">
        <v>4</v>
      </c>
    </row>
    <row r="6" spans="2:3" x14ac:dyDescent="0.25">
      <c r="B6" s="123">
        <v>0.72662501996868978</v>
      </c>
      <c r="C6">
        <v>5</v>
      </c>
    </row>
    <row r="7" spans="2:3" x14ac:dyDescent="0.25">
      <c r="B7" s="123">
        <v>0.76213531235368559</v>
      </c>
      <c r="C7">
        <v>6</v>
      </c>
    </row>
    <row r="8" spans="2:3" x14ac:dyDescent="0.25">
      <c r="B8" s="123">
        <v>0.72916146703147078</v>
      </c>
      <c r="C8">
        <v>7</v>
      </c>
    </row>
    <row r="9" spans="2:3" x14ac:dyDescent="0.25">
      <c r="B9" s="123">
        <v>0.11355054631084993</v>
      </c>
      <c r="C9">
        <v>8</v>
      </c>
    </row>
    <row r="10" spans="2:3" x14ac:dyDescent="0.25">
      <c r="B10" s="123">
        <v>0.40609594206885968</v>
      </c>
      <c r="C10">
        <v>9</v>
      </c>
    </row>
    <row r="11" spans="2:3" x14ac:dyDescent="0.25">
      <c r="B11" s="123">
        <v>0.37064882783823827</v>
      </c>
      <c r="C11">
        <v>10</v>
      </c>
    </row>
    <row r="12" spans="2:3" x14ac:dyDescent="0.25">
      <c r="B12" s="123">
        <v>0.31802423171476191</v>
      </c>
      <c r="C12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Informacije</vt:lpstr>
      <vt:lpstr> 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2019-04-27T22:49:14Z</dcterms:modified>
</cp:coreProperties>
</file>